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"/>
    </mc:Choice>
  </mc:AlternateContent>
  <xr:revisionPtr revIDLastSave="0" documentId="8_{98E2E83A-4965-E14F-8ECF-4E5A5BAF34B4}" xr6:coauthVersionLast="47" xr6:coauthVersionMax="47" xr10:uidLastSave="{00000000-0000-0000-0000-000000000000}"/>
  <bookViews>
    <workbookView xWindow="0" yWindow="740" windowWidth="23260" windowHeight="14620" tabRatio="500" xr2:uid="{00000000-000D-0000-FFFF-FFFF00000000}"/>
  </bookViews>
  <sheets>
    <sheet name="PV indoor-panel control  (2)" sheetId="5" r:id="rId1"/>
    <sheet name="PV Lab Data-panel control" sheetId="1" r:id="rId2"/>
    <sheet name="PV lab data-panel sunlight" sheetId="2" r:id="rId3"/>
    <sheet name="Sheet1" sheetId="3" r:id="rId4"/>
    <sheet name="PV indoor-panel control 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5" i="5" l="1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I297" i="5"/>
  <c r="F297" i="5"/>
  <c r="E297" i="5"/>
  <c r="F296" i="5"/>
  <c r="E296" i="5"/>
  <c r="F295" i="5"/>
  <c r="E295" i="5"/>
  <c r="F294" i="5"/>
  <c r="E294" i="5"/>
  <c r="I292" i="5" s="1"/>
  <c r="F293" i="5"/>
  <c r="E293" i="5"/>
  <c r="F292" i="5"/>
  <c r="E292" i="5"/>
  <c r="L291" i="5"/>
  <c r="K291" i="5"/>
  <c r="I291" i="5"/>
  <c r="L292" i="5" s="1"/>
  <c r="F291" i="5"/>
  <c r="E291" i="5"/>
  <c r="L290" i="5"/>
  <c r="K290" i="5"/>
  <c r="I290" i="5"/>
  <c r="F290" i="5"/>
  <c r="E290" i="5"/>
  <c r="O282" i="5"/>
  <c r="G282" i="5"/>
  <c r="O280" i="5"/>
  <c r="O283" i="5" s="1"/>
  <c r="G280" i="5"/>
  <c r="G281" i="5" s="1"/>
  <c r="O279" i="5"/>
  <c r="G279" i="5"/>
  <c r="O278" i="5"/>
  <c r="G278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I244" i="5"/>
  <c r="F244" i="5"/>
  <c r="E244" i="5"/>
  <c r="F243" i="5"/>
  <c r="E243" i="5"/>
  <c r="F242" i="5"/>
  <c r="E242" i="5"/>
  <c r="F241" i="5"/>
  <c r="E241" i="5"/>
  <c r="F240" i="5"/>
  <c r="E240" i="5"/>
  <c r="L239" i="5"/>
  <c r="F239" i="5"/>
  <c r="E239" i="5"/>
  <c r="L238" i="5"/>
  <c r="K238" i="5"/>
  <c r="I238" i="5"/>
  <c r="F238" i="5"/>
  <c r="E238" i="5"/>
  <c r="L237" i="5"/>
  <c r="K237" i="5"/>
  <c r="I237" i="5"/>
  <c r="F237" i="5"/>
  <c r="E237" i="5"/>
  <c r="I239" i="5" s="1"/>
  <c r="O229" i="5"/>
  <c r="G229" i="5"/>
  <c r="O227" i="5"/>
  <c r="O228" i="5" s="1"/>
  <c r="G227" i="5"/>
  <c r="O226" i="5"/>
  <c r="G226" i="5"/>
  <c r="G228" i="5" s="1"/>
  <c r="O225" i="5"/>
  <c r="G225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I191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I186" i="5" s="1"/>
  <c r="L185" i="5"/>
  <c r="K185" i="5"/>
  <c r="I185" i="5"/>
  <c r="L186" i="5" s="1"/>
  <c r="F185" i="5"/>
  <c r="E185" i="5"/>
  <c r="L184" i="5"/>
  <c r="K184" i="5"/>
  <c r="I184" i="5"/>
  <c r="F184" i="5"/>
  <c r="E184" i="5"/>
  <c r="O176" i="5"/>
  <c r="G176" i="5"/>
  <c r="O174" i="5"/>
  <c r="O177" i="5" s="1"/>
  <c r="G174" i="5"/>
  <c r="G175" i="5" s="1"/>
  <c r="O173" i="5"/>
  <c r="G173" i="5"/>
  <c r="O172" i="5"/>
  <c r="G172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I138" i="5"/>
  <c r="F138" i="5"/>
  <c r="E138" i="5"/>
  <c r="F137" i="5"/>
  <c r="E137" i="5"/>
  <c r="F136" i="5"/>
  <c r="E136" i="5"/>
  <c r="F135" i="5"/>
  <c r="E135" i="5"/>
  <c r="F134" i="5"/>
  <c r="E134" i="5"/>
  <c r="L133" i="5"/>
  <c r="F133" i="5"/>
  <c r="E133" i="5"/>
  <c r="L132" i="5"/>
  <c r="K132" i="5"/>
  <c r="I132" i="5"/>
  <c r="K131" i="5" s="1"/>
  <c r="F132" i="5"/>
  <c r="E132" i="5"/>
  <c r="L131" i="5"/>
  <c r="I131" i="5"/>
  <c r="F131" i="5"/>
  <c r="E131" i="5"/>
  <c r="I133" i="5" s="1"/>
  <c r="O123" i="5"/>
  <c r="G123" i="5"/>
  <c r="O121" i="5"/>
  <c r="O122" i="5" s="1"/>
  <c r="G121" i="5"/>
  <c r="O120" i="5"/>
  <c r="G120" i="5"/>
  <c r="G122" i="5" s="1"/>
  <c r="O119" i="5"/>
  <c r="G119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I85" i="5"/>
  <c r="F85" i="5"/>
  <c r="E85" i="5"/>
  <c r="F84" i="5"/>
  <c r="E84" i="5"/>
  <c r="F83" i="5"/>
  <c r="E83" i="5"/>
  <c r="F82" i="5"/>
  <c r="E82" i="5"/>
  <c r="F81" i="5"/>
  <c r="E81" i="5"/>
  <c r="F80" i="5"/>
  <c r="E80" i="5"/>
  <c r="I80" i="5" s="1"/>
  <c r="L79" i="5"/>
  <c r="K79" i="5"/>
  <c r="I79" i="5"/>
  <c r="L80" i="5" s="1"/>
  <c r="F79" i="5"/>
  <c r="E79" i="5"/>
  <c r="L78" i="5"/>
  <c r="K78" i="5"/>
  <c r="I78" i="5"/>
  <c r="F78" i="5"/>
  <c r="E78" i="5"/>
  <c r="O70" i="5"/>
  <c r="G70" i="5"/>
  <c r="O68" i="5"/>
  <c r="O71" i="5" s="1"/>
  <c r="G68" i="5"/>
  <c r="G69" i="5" s="1"/>
  <c r="O67" i="5"/>
  <c r="G67" i="5"/>
  <c r="O66" i="5"/>
  <c r="G66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I32" i="5"/>
  <c r="F32" i="5"/>
  <c r="E32" i="5"/>
  <c r="F31" i="5"/>
  <c r="E31" i="5"/>
  <c r="F30" i="5"/>
  <c r="E30" i="5"/>
  <c r="F29" i="5"/>
  <c r="E29" i="5"/>
  <c r="F28" i="5"/>
  <c r="E28" i="5"/>
  <c r="L27" i="5"/>
  <c r="F27" i="5"/>
  <c r="E27" i="5"/>
  <c r="L26" i="5"/>
  <c r="K26" i="5"/>
  <c r="I26" i="5"/>
  <c r="K25" i="5" s="1"/>
  <c r="F26" i="5"/>
  <c r="E26" i="5"/>
  <c r="L25" i="5"/>
  <c r="I25" i="5"/>
  <c r="F25" i="5"/>
  <c r="E25" i="5"/>
  <c r="I27" i="5" s="1"/>
  <c r="O17" i="5"/>
  <c r="G17" i="5"/>
  <c r="O15" i="5"/>
  <c r="O16" i="5" s="1"/>
  <c r="G15" i="5"/>
  <c r="G16" i="5" s="1"/>
  <c r="O14" i="5"/>
  <c r="G14" i="5"/>
  <c r="O13" i="5"/>
  <c r="G13" i="5"/>
  <c r="I138" i="1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F306" i="4"/>
  <c r="E306" i="4"/>
  <c r="F305" i="4"/>
  <c r="E305" i="4"/>
  <c r="F304" i="4"/>
  <c r="E304" i="4"/>
  <c r="F303" i="4"/>
  <c r="E303" i="4"/>
  <c r="F302" i="4"/>
  <c r="E302" i="4"/>
  <c r="F301" i="4"/>
  <c r="E301" i="4"/>
  <c r="F300" i="4"/>
  <c r="E300" i="4"/>
  <c r="F299" i="4"/>
  <c r="E299" i="4"/>
  <c r="F298" i="4"/>
  <c r="E298" i="4"/>
  <c r="I297" i="4"/>
  <c r="F297" i="4"/>
  <c r="E297" i="4"/>
  <c r="F296" i="4"/>
  <c r="E296" i="4"/>
  <c r="F295" i="4"/>
  <c r="E295" i="4"/>
  <c r="F294" i="4"/>
  <c r="E294" i="4"/>
  <c r="F293" i="4"/>
  <c r="E293" i="4"/>
  <c r="F292" i="4"/>
  <c r="E292" i="4"/>
  <c r="L291" i="4"/>
  <c r="K291" i="4"/>
  <c r="I291" i="4"/>
  <c r="L292" i="4" s="1"/>
  <c r="F291" i="4"/>
  <c r="E291" i="4"/>
  <c r="I290" i="4"/>
  <c r="F290" i="4"/>
  <c r="E290" i="4"/>
  <c r="O282" i="4"/>
  <c r="G282" i="4"/>
  <c r="O280" i="4"/>
  <c r="G280" i="4"/>
  <c r="O279" i="4"/>
  <c r="G279" i="4"/>
  <c r="O278" i="4"/>
  <c r="G278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I244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L238" i="4"/>
  <c r="K238" i="4"/>
  <c r="I238" i="4"/>
  <c r="L237" i="4" s="1"/>
  <c r="F238" i="4"/>
  <c r="E238" i="4"/>
  <c r="I237" i="4"/>
  <c r="F237" i="4"/>
  <c r="E237" i="4"/>
  <c r="O229" i="4"/>
  <c r="G229" i="4"/>
  <c r="O227" i="4"/>
  <c r="G227" i="4"/>
  <c r="O226" i="4"/>
  <c r="G226" i="4"/>
  <c r="O225" i="4"/>
  <c r="G225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I191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L185" i="4"/>
  <c r="K185" i="4"/>
  <c r="I185" i="4"/>
  <c r="L186" i="4" s="1"/>
  <c r="F185" i="4"/>
  <c r="E185" i="4"/>
  <c r="I184" i="4"/>
  <c r="F184" i="4"/>
  <c r="E184" i="4"/>
  <c r="O176" i="4"/>
  <c r="G176" i="4"/>
  <c r="O174" i="4"/>
  <c r="G174" i="4"/>
  <c r="O173" i="4"/>
  <c r="G173" i="4"/>
  <c r="O172" i="4"/>
  <c r="G172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I138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L132" i="4"/>
  <c r="K132" i="4"/>
  <c r="I132" i="4"/>
  <c r="L131" i="4" s="1"/>
  <c r="F132" i="4"/>
  <c r="E132" i="4"/>
  <c r="I131" i="4"/>
  <c r="F131" i="4"/>
  <c r="E131" i="4"/>
  <c r="O123" i="4"/>
  <c r="G123" i="4"/>
  <c r="O121" i="4"/>
  <c r="G121" i="4"/>
  <c r="O120" i="4"/>
  <c r="G120" i="4"/>
  <c r="O119" i="4"/>
  <c r="G119" i="4"/>
  <c r="O70" i="4"/>
  <c r="O69" i="4"/>
  <c r="O68" i="4"/>
  <c r="O71" i="4" s="1"/>
  <c r="O67" i="4"/>
  <c r="O66" i="4"/>
  <c r="G70" i="4"/>
  <c r="G68" i="4"/>
  <c r="G69" i="4" s="1"/>
  <c r="G67" i="4"/>
  <c r="G66" i="4"/>
  <c r="L79" i="4"/>
  <c r="K79" i="4"/>
  <c r="I85" i="4"/>
  <c r="I79" i="4"/>
  <c r="L78" i="4" s="1"/>
  <c r="I78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26" i="4"/>
  <c r="E25" i="4"/>
  <c r="F25" i="4"/>
  <c r="I25" i="4"/>
  <c r="E26" i="4"/>
  <c r="I26" i="4"/>
  <c r="K25" i="4" s="1"/>
  <c r="K26" i="4"/>
  <c r="L26" i="4"/>
  <c r="E27" i="4"/>
  <c r="F27" i="4"/>
  <c r="I27" i="4"/>
  <c r="I28" i="4" s="1"/>
  <c r="L27" i="4"/>
  <c r="E28" i="4"/>
  <c r="F28" i="4"/>
  <c r="E29" i="4"/>
  <c r="F29" i="4"/>
  <c r="E30" i="4"/>
  <c r="F30" i="4"/>
  <c r="E31" i="4"/>
  <c r="F31" i="4"/>
  <c r="E32" i="4"/>
  <c r="F32" i="4"/>
  <c r="I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G13" i="4"/>
  <c r="O13" i="4"/>
  <c r="G14" i="4"/>
  <c r="O14" i="4"/>
  <c r="G15" i="4"/>
  <c r="G16" i="4" s="1"/>
  <c r="O15" i="4"/>
  <c r="O16" i="4" s="1"/>
  <c r="G17" i="4"/>
  <c r="O17" i="4"/>
  <c r="I245" i="2"/>
  <c r="I246" i="2"/>
  <c r="L247" i="2" s="1"/>
  <c r="I252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L196" i="1"/>
  <c r="L194" i="1"/>
  <c r="L139" i="1"/>
  <c r="L137" i="1"/>
  <c r="L82" i="1"/>
  <c r="L80" i="1"/>
  <c r="L27" i="1"/>
  <c r="L25" i="1"/>
  <c r="L137" i="2"/>
  <c r="L27" i="2"/>
  <c r="L25" i="2"/>
  <c r="L195" i="1"/>
  <c r="K195" i="1"/>
  <c r="K194" i="1"/>
  <c r="L138" i="1"/>
  <c r="K138" i="1"/>
  <c r="K137" i="1"/>
  <c r="L81" i="1"/>
  <c r="K81" i="1"/>
  <c r="K80" i="1"/>
  <c r="L26" i="1"/>
  <c r="K26" i="1"/>
  <c r="K25" i="1"/>
  <c r="L246" i="2"/>
  <c r="K246" i="2"/>
  <c r="L191" i="2"/>
  <c r="K191" i="2"/>
  <c r="L136" i="2"/>
  <c r="K136" i="2"/>
  <c r="L81" i="2"/>
  <c r="K81" i="2"/>
  <c r="L26" i="2"/>
  <c r="K26" i="2"/>
  <c r="K25" i="2"/>
  <c r="E102" i="2"/>
  <c r="F245" i="2"/>
  <c r="E245" i="2"/>
  <c r="O237" i="2"/>
  <c r="G237" i="2"/>
  <c r="O235" i="2"/>
  <c r="G235" i="2"/>
  <c r="O234" i="2"/>
  <c r="G234" i="2"/>
  <c r="O233" i="2"/>
  <c r="G233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I197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I191" i="2"/>
  <c r="L190" i="2" s="1"/>
  <c r="F191" i="2"/>
  <c r="E191" i="2"/>
  <c r="I190" i="2"/>
  <c r="F190" i="2"/>
  <c r="E190" i="2"/>
  <c r="O182" i="2"/>
  <c r="G182" i="2"/>
  <c r="O180" i="2"/>
  <c r="G180" i="2"/>
  <c r="O179" i="2"/>
  <c r="G179" i="2"/>
  <c r="O178" i="2"/>
  <c r="G178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I142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I136" i="2"/>
  <c r="L135" i="2" s="1"/>
  <c r="F136" i="2"/>
  <c r="E136" i="2"/>
  <c r="I135" i="2"/>
  <c r="F135" i="2"/>
  <c r="E135" i="2"/>
  <c r="O127" i="2"/>
  <c r="G127" i="2"/>
  <c r="O125" i="2"/>
  <c r="G125" i="2"/>
  <c r="O124" i="2"/>
  <c r="G124" i="2"/>
  <c r="O123" i="2"/>
  <c r="G123" i="2"/>
  <c r="F105" i="2"/>
  <c r="E105" i="2"/>
  <c r="F104" i="2"/>
  <c r="E104" i="2"/>
  <c r="F103" i="2"/>
  <c r="E103" i="2"/>
  <c r="F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I87" i="2"/>
  <c r="F87" i="2"/>
  <c r="E87" i="2"/>
  <c r="F86" i="2"/>
  <c r="E86" i="2"/>
  <c r="F85" i="2"/>
  <c r="E85" i="2"/>
  <c r="F84" i="2"/>
  <c r="E84" i="2"/>
  <c r="F83" i="2"/>
  <c r="E83" i="2"/>
  <c r="F82" i="2"/>
  <c r="E82" i="2"/>
  <c r="I81" i="2"/>
  <c r="L80" i="2" s="1"/>
  <c r="F81" i="2"/>
  <c r="E81" i="2"/>
  <c r="I80" i="2"/>
  <c r="F80" i="2"/>
  <c r="E80" i="2"/>
  <c r="O72" i="2"/>
  <c r="G72" i="2"/>
  <c r="O70" i="2"/>
  <c r="G70" i="2"/>
  <c r="O69" i="2"/>
  <c r="G69" i="2"/>
  <c r="O68" i="2"/>
  <c r="G68" i="2"/>
  <c r="E35" i="2"/>
  <c r="E25" i="2"/>
  <c r="F25" i="2"/>
  <c r="I25" i="2"/>
  <c r="E26" i="2"/>
  <c r="F26" i="2"/>
  <c r="I26" i="2"/>
  <c r="E27" i="2"/>
  <c r="F27" i="2"/>
  <c r="E28" i="2"/>
  <c r="F28" i="2"/>
  <c r="E29" i="2"/>
  <c r="F29" i="2"/>
  <c r="E30" i="2"/>
  <c r="F30" i="2"/>
  <c r="E31" i="2"/>
  <c r="F31" i="2"/>
  <c r="E32" i="2"/>
  <c r="F32" i="2"/>
  <c r="I32" i="2"/>
  <c r="E33" i="2"/>
  <c r="F33" i="2"/>
  <c r="E34" i="2"/>
  <c r="F34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G13" i="2"/>
  <c r="O13" i="2"/>
  <c r="G14" i="2"/>
  <c r="O14" i="2"/>
  <c r="G15" i="2"/>
  <c r="O15" i="2"/>
  <c r="G17" i="2"/>
  <c r="O17" i="2"/>
  <c r="I194" i="1"/>
  <c r="I195" i="1"/>
  <c r="I196" i="1"/>
  <c r="I197" i="1" s="1"/>
  <c r="I201" i="1"/>
  <c r="I137" i="1"/>
  <c r="I144" i="1"/>
  <c r="I80" i="1"/>
  <c r="I81" i="1"/>
  <c r="I87" i="1"/>
  <c r="I32" i="1"/>
  <c r="I26" i="1"/>
  <c r="I25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O186" i="1"/>
  <c r="G186" i="1"/>
  <c r="O184" i="1"/>
  <c r="G184" i="1"/>
  <c r="O183" i="1"/>
  <c r="G183" i="1"/>
  <c r="O182" i="1"/>
  <c r="G182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O129" i="1"/>
  <c r="G129" i="1"/>
  <c r="O127" i="1"/>
  <c r="G127" i="1"/>
  <c r="O126" i="1"/>
  <c r="G126" i="1"/>
  <c r="O125" i="1"/>
  <c r="G125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O72" i="1"/>
  <c r="G72" i="1"/>
  <c r="O70" i="1"/>
  <c r="G70" i="1"/>
  <c r="O69" i="1"/>
  <c r="G69" i="1"/>
  <c r="O68" i="1"/>
  <c r="G68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I27" i="1" s="1"/>
  <c r="F26" i="1"/>
  <c r="E26" i="1"/>
  <c r="F25" i="1"/>
  <c r="E25" i="1"/>
  <c r="O17" i="1"/>
  <c r="G17" i="1"/>
  <c r="O15" i="1"/>
  <c r="G15" i="1"/>
  <c r="O14" i="1"/>
  <c r="G14" i="1"/>
  <c r="O13" i="1"/>
  <c r="G13" i="1"/>
  <c r="I241" i="5" l="1"/>
  <c r="I243" i="5"/>
  <c r="I240" i="5"/>
  <c r="I242" i="5" s="1"/>
  <c r="I187" i="5"/>
  <c r="I188" i="5"/>
  <c r="I190" i="5"/>
  <c r="I81" i="5"/>
  <c r="I83" i="5" s="1"/>
  <c r="I82" i="5"/>
  <c r="I84" i="5"/>
  <c r="I135" i="5"/>
  <c r="I137" i="5"/>
  <c r="I134" i="5"/>
  <c r="I136" i="5" s="1"/>
  <c r="I293" i="5"/>
  <c r="I295" i="5" s="1"/>
  <c r="I294" i="5"/>
  <c r="I296" i="5"/>
  <c r="I29" i="5"/>
  <c r="I31" i="5"/>
  <c r="I28" i="5"/>
  <c r="O18" i="5"/>
  <c r="O124" i="5"/>
  <c r="O230" i="5"/>
  <c r="O69" i="5"/>
  <c r="O175" i="5"/>
  <c r="O281" i="5"/>
  <c r="L290" i="4"/>
  <c r="K290" i="4"/>
  <c r="O228" i="4"/>
  <c r="G228" i="4"/>
  <c r="L184" i="4"/>
  <c r="I133" i="4"/>
  <c r="I135" i="4" s="1"/>
  <c r="O122" i="4"/>
  <c r="I292" i="4"/>
  <c r="I293" i="4" s="1"/>
  <c r="O283" i="4"/>
  <c r="G281" i="4"/>
  <c r="L239" i="4"/>
  <c r="I239" i="4"/>
  <c r="I243" i="4" s="1"/>
  <c r="O230" i="4"/>
  <c r="K184" i="4"/>
  <c r="I186" i="4"/>
  <c r="I187" i="4" s="1"/>
  <c r="O177" i="4"/>
  <c r="G175" i="4"/>
  <c r="L133" i="4"/>
  <c r="O124" i="4"/>
  <c r="G122" i="4"/>
  <c r="O281" i="4"/>
  <c r="O175" i="4"/>
  <c r="K131" i="4"/>
  <c r="K237" i="4"/>
  <c r="I80" i="4"/>
  <c r="I82" i="4" s="1"/>
  <c r="I84" i="4"/>
  <c r="L80" i="4"/>
  <c r="K78" i="4"/>
  <c r="O18" i="4"/>
  <c r="L25" i="4"/>
  <c r="I29" i="4"/>
  <c r="I30" i="4" s="1"/>
  <c r="I31" i="4"/>
  <c r="K245" i="2"/>
  <c r="I247" i="2"/>
  <c r="I248" i="2" s="1"/>
  <c r="G181" i="2"/>
  <c r="L82" i="2"/>
  <c r="L245" i="2"/>
  <c r="L192" i="2"/>
  <c r="K190" i="2"/>
  <c r="I192" i="2"/>
  <c r="I193" i="2" s="1"/>
  <c r="K135" i="2"/>
  <c r="O126" i="2"/>
  <c r="K80" i="2"/>
  <c r="O73" i="2"/>
  <c r="O71" i="2"/>
  <c r="G71" i="2"/>
  <c r="I137" i="2"/>
  <c r="I138" i="2" s="1"/>
  <c r="O236" i="2"/>
  <c r="G236" i="2"/>
  <c r="O128" i="2"/>
  <c r="G126" i="2"/>
  <c r="I82" i="2"/>
  <c r="I83" i="2" s="1"/>
  <c r="O183" i="2"/>
  <c r="O238" i="2"/>
  <c r="O181" i="2"/>
  <c r="I27" i="2"/>
  <c r="I29" i="2" s="1"/>
  <c r="O16" i="2"/>
  <c r="O18" i="2"/>
  <c r="G16" i="2"/>
  <c r="I139" i="1"/>
  <c r="I140" i="1" s="1"/>
  <c r="I82" i="1"/>
  <c r="I83" i="1" s="1"/>
  <c r="G71" i="1"/>
  <c r="I200" i="1"/>
  <c r="I198" i="1"/>
  <c r="I199" i="1" s="1"/>
  <c r="I31" i="1"/>
  <c r="I29" i="1"/>
  <c r="I28" i="1"/>
  <c r="I30" i="1" s="1"/>
  <c r="G128" i="1"/>
  <c r="G185" i="1"/>
  <c r="O128" i="1"/>
  <c r="O71" i="1"/>
  <c r="O185" i="1"/>
  <c r="O18" i="1"/>
  <c r="G16" i="1"/>
  <c r="O187" i="1"/>
  <c r="O130" i="1"/>
  <c r="O73" i="1"/>
  <c r="O16" i="1"/>
  <c r="I189" i="5" l="1"/>
  <c r="I30" i="5"/>
  <c r="I296" i="4"/>
  <c r="I294" i="4"/>
  <c r="I295" i="4" s="1"/>
  <c r="I240" i="4"/>
  <c r="I137" i="4"/>
  <c r="I134" i="4"/>
  <c r="I136" i="4" s="1"/>
  <c r="I241" i="4"/>
  <c r="I188" i="4"/>
  <c r="I189" i="4" s="1"/>
  <c r="I190" i="4"/>
  <c r="I81" i="4"/>
  <c r="I83" i="4" s="1"/>
  <c r="I249" i="2"/>
  <c r="I250" i="2" s="1"/>
  <c r="I251" i="2"/>
  <c r="I194" i="2"/>
  <c r="I195" i="2" s="1"/>
  <c r="I196" i="2"/>
  <c r="I141" i="2"/>
  <c r="I139" i="2"/>
  <c r="I140" i="2" s="1"/>
  <c r="I84" i="2"/>
  <c r="I85" i="2" s="1"/>
  <c r="I86" i="2"/>
  <c r="I31" i="2"/>
  <c r="I28" i="2"/>
  <c r="I30" i="2" s="1"/>
  <c r="I143" i="1"/>
  <c r="I141" i="1"/>
  <c r="I142" i="1" s="1"/>
  <c r="I84" i="1"/>
  <c r="I85" i="1" s="1"/>
  <c r="I86" i="1"/>
  <c r="I24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LilithaTsewu</author>
  </authors>
  <commentList>
    <comment ref="L22" authorId="0" shapeId="0" xr:uid="{3908BA29-C70F-401D-AC90-760CA581044A}">
      <text>
        <r>
          <rPr>
            <b/>
            <sz val="9"/>
            <color indexed="81"/>
            <rFont val="Tahoma"/>
            <family val="2"/>
          </rPr>
          <t>LilithaTsewu:</t>
        </r>
        <r>
          <rPr>
            <sz val="9"/>
            <color indexed="81"/>
            <rFont val="Tahoma"/>
            <family val="2"/>
          </rPr>
          <t xml:space="preserve">
Panel nameplate / rated maximum current. The Isc extrapolation plotted on the I-V charts is capped at this value.</t>
        </r>
      </text>
    </comment>
  </commentList>
</comments>
</file>

<file path=xl/sharedStrings.xml><?xml version="1.0" encoding="utf-8"?>
<sst xmlns="http://schemas.openxmlformats.org/spreadsheetml/2006/main" count="1461" uniqueCount="71">
  <si>
    <t>Date:</t>
  </si>
  <si>
    <t>Time:</t>
  </si>
  <si>
    <t>Yellow cells = enter your data (grey italics show the expected format)</t>
  </si>
  <si>
    <t>ENVIRONMENTAL &amp; TEST CONDITIONS</t>
  </si>
  <si>
    <t>Lamp Distance (cm):</t>
  </si>
  <si>
    <t>Fan Condition:</t>
  </si>
  <si>
    <t xml:space="preserve">off </t>
  </si>
  <si>
    <t>Window Condition:</t>
  </si>
  <si>
    <t>Closed / Unshielded</t>
  </si>
  <si>
    <t>Test Purpose / Notes:</t>
  </si>
  <si>
    <t xml:space="preserve">variac voltage= 150V </t>
  </si>
  <si>
    <t>TEMPERATURE GRID (°C)</t>
  </si>
  <si>
    <t>IRRADIANCE GRID (W/m²)</t>
  </si>
  <si>
    <t>Position</t>
  </si>
  <si>
    <t>Left</t>
  </si>
  <si>
    <t>Centre</t>
  </si>
  <si>
    <t>Right</t>
  </si>
  <si>
    <t>Metric</t>
  </si>
  <si>
    <t>Value</t>
  </si>
  <si>
    <t>Top</t>
  </si>
  <si>
    <t>Average</t>
  </si>
  <si>
    <t>Middle</t>
  </si>
  <si>
    <t>Minimum</t>
  </si>
  <si>
    <t>Bottom</t>
  </si>
  <si>
    <t>Maximum</t>
  </si>
  <si>
    <t>Range</t>
  </si>
  <si>
    <t>Std Dev</t>
  </si>
  <si>
    <t>Uniform (%)</t>
  </si>
  <si>
    <t>READING DETAILS</t>
  </si>
  <si>
    <t>Panel Temp (°C):</t>
  </si>
  <si>
    <t>Ambient Temp (°C):</t>
  </si>
  <si>
    <t>Sweep Start:</t>
  </si>
  <si>
    <t>16:15</t>
  </si>
  <si>
    <t>Sweep End:</t>
  </si>
  <si>
    <t>16:30</t>
  </si>
  <si>
    <t>RESISTANCE SWEEP DATA</t>
  </si>
  <si>
    <t>DERIVED PARAMETERS</t>
  </si>
  <si>
    <t>Point</t>
  </si>
  <si>
    <t>R set (Ω)</t>
  </si>
  <si>
    <t>V (V)</t>
  </si>
  <si>
    <t>I (A)</t>
  </si>
  <si>
    <t>P (W)</t>
  </si>
  <si>
    <t>R actual (Ω)</t>
  </si>
  <si>
    <t>Isc extrapolation</t>
  </si>
  <si>
    <t>V (V) / I (A)</t>
  </si>
  <si>
    <t>Voc (V)</t>
  </si>
  <si>
    <t>Isc (A), extrapolated</t>
  </si>
  <si>
    <t>Pmax (W)</t>
  </si>
  <si>
    <t>Capped at limit?</t>
  </si>
  <si>
    <t>Vmp (V)</t>
  </si>
  <si>
    <t>Imp (A)</t>
  </si>
  <si>
    <t>R at MPP (Ω)</t>
  </si>
  <si>
    <t>Fill factor</t>
  </si>
  <si>
    <t>Points captured</t>
  </si>
  <si>
    <t>open</t>
  </si>
  <si>
    <t>Note: R = 2–4 Ω densified near Isc (constant-current region) for an accurate extrapolated Isc; R = 5–14 Ω densified around the knee/MPP region. For the 'open' row, leave I = 0 and enter the measured open-circuit voltage in V.</t>
  </si>
  <si>
    <t xml:space="preserve">60 cm </t>
  </si>
  <si>
    <t xml:space="preserve">varic voltage 200V </t>
  </si>
  <si>
    <t xml:space="preserve">variace voltagw 220V </t>
  </si>
  <si>
    <t xml:space="preserve">On (we let the fan cool down for 10 mintues then we turned on the varaic and let it settle for 10 minutes, the whole sweep was done with the fan on) </t>
  </si>
  <si>
    <t xml:space="preserve">variac voltage = 150 V </t>
  </si>
  <si>
    <t xml:space="preserve">On </t>
  </si>
  <si>
    <t xml:space="preserve">variace voltage 200V </t>
  </si>
  <si>
    <t>variac voltage 220V</t>
  </si>
  <si>
    <t>PV LAB EXPERIMENTAL DATA ENTRY TEMPLATE (DDM PARAMETER EXTRACTION)</t>
  </si>
  <si>
    <t>30</t>
  </si>
  <si>
    <t>On / Off</t>
  </si>
  <si>
    <t>Panel max current (A):</t>
  </si>
  <si>
    <t>07 September 2026</t>
  </si>
  <si>
    <t>53.§</t>
  </si>
  <si>
    <t>Note: R = 2–4 Ω densified near Isc (constant-current region); R = 3–6 Ω in 0.3 Ω steps to resolve the knee/MPP region in detail; R = 7–14 Ω around the knee. For the 'open' row, leave I = 0 and enter the measured open-circuit voltage in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</si>
</sst>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charset val="1"/>
    </font>
    <font>
      <b/>
      <sz val="16"/>
      <color rgb="FF1F3864"/>
      <name val="Calibri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sz val="11"/>
      <name val="Calibri"/>
      <family val="2"/>
    </font>
    <font>
      <i/>
      <sz val="10"/>
      <color rgb="FF80808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charset val="1"/>
    </font>
    <font>
      <b/>
      <sz val="16"/>
      <color rgb="FF1F3864"/>
      <name val="Calibri"/>
      <family val="2"/>
      <charset val="1"/>
    </font>
    <font>
      <b/>
      <sz val="11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name val="Calibri"/>
      <family val="2"/>
      <charset val="1"/>
    </font>
    <font>
      <i/>
      <sz val="10"/>
      <color rgb="FF80808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5" fontId="3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1" xfId="0" applyFont="1" applyBorder="1"/>
    <xf numFmtId="15" fontId="10" fillId="2" borderId="1" xfId="0" applyNumberFormat="1" applyFont="1" applyFill="1" applyBorder="1" applyAlignment="1">
      <alignment horizontal="center" vertical="center" wrapText="1"/>
    </xf>
    <xf numFmtId="20" fontId="11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2" fontId="14" fillId="5" borderId="0" xfId="0" applyNumberFormat="1" applyFont="1" applyFill="1" applyAlignment="1">
      <alignment horizontal="center"/>
    </xf>
    <xf numFmtId="15" fontId="10" fillId="6" borderId="2" xfId="0" applyNumberFormat="1" applyFont="1" applyFill="1" applyBorder="1" applyAlignment="1">
      <alignment wrapText="1"/>
    </xf>
    <xf numFmtId="0" fontId="17" fillId="0" borderId="0" xfId="0" applyFont="1"/>
    <xf numFmtId="20" fontId="11" fillId="6" borderId="3" xfId="0" applyNumberFormat="1" applyFont="1" applyFill="1" applyBorder="1" applyAlignment="1">
      <alignment wrapText="1"/>
    </xf>
    <xf numFmtId="0" fontId="12" fillId="0" borderId="0" xfId="0" applyFont="1" applyAlignment="1">
      <alignment wrapText="1"/>
    </xf>
    <xf numFmtId="0" fontId="9" fillId="0" borderId="6" xfId="0" applyFont="1" applyBorder="1" applyAlignment="1">
      <alignment wrapText="1"/>
    </xf>
    <xf numFmtId="0" fontId="9" fillId="8" borderId="6" xfId="0" applyFont="1" applyFill="1" applyBorder="1" applyAlignment="1">
      <alignment wrapText="1"/>
    </xf>
    <xf numFmtId="0" fontId="9" fillId="8" borderId="9" xfId="0" applyFont="1" applyFill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10" fillId="6" borderId="10" xfId="0" applyFont="1" applyFill="1" applyBorder="1" applyAlignment="1">
      <alignment wrapText="1"/>
    </xf>
    <xf numFmtId="0" fontId="9" fillId="0" borderId="6" xfId="0" applyFont="1" applyBorder="1"/>
    <xf numFmtId="0" fontId="11" fillId="0" borderId="9" xfId="0" applyFont="1" applyBorder="1" applyAlignment="1">
      <alignment wrapText="1"/>
    </xf>
    <xf numFmtId="0" fontId="11" fillId="6" borderId="9" xfId="0" applyFont="1" applyFill="1" applyBorder="1" applyAlignment="1">
      <alignment wrapText="1"/>
    </xf>
    <xf numFmtId="20" fontId="10" fillId="6" borderId="10" xfId="0" applyNumberFormat="1" applyFont="1" applyFill="1" applyBorder="1" applyAlignment="1">
      <alignment wrapText="1"/>
    </xf>
    <xf numFmtId="0" fontId="18" fillId="0" borderId="0" xfId="0" applyFont="1"/>
    <xf numFmtId="0" fontId="11" fillId="0" borderId="6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7" fillId="0" borderId="11" xfId="0" applyFont="1" applyBorder="1"/>
    <xf numFmtId="0" fontId="11" fillId="0" borderId="9" xfId="0" quotePrefix="1" applyFont="1" applyBorder="1" applyAlignment="1">
      <alignment wrapText="1"/>
    </xf>
    <xf numFmtId="0" fontId="17" fillId="0" borderId="11" xfId="0" quotePrefix="1" applyFont="1" applyBorder="1"/>
    <xf numFmtId="0" fontId="9" fillId="0" borderId="12" xfId="0" applyFont="1" applyBorder="1" applyAlignment="1">
      <alignment horizontal="left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0" borderId="12" xfId="0" applyFont="1" applyBorder="1"/>
    <xf numFmtId="164" fontId="11" fillId="0" borderId="13" xfId="0" applyNumberFormat="1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65" fontId="11" fillId="2" borderId="13" xfId="0" applyNumberFormat="1" applyFont="1" applyFill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65" fontId="11" fillId="0" borderId="13" xfId="0" applyNumberFormat="1" applyFont="1" applyBorder="1" applyAlignment="1">
      <alignment horizontal="center" vertical="center" wrapText="1"/>
    </xf>
    <xf numFmtId="165" fontId="17" fillId="0" borderId="13" xfId="0" applyNumberFormat="1" applyFont="1" applyBorder="1" applyAlignment="1">
      <alignment horizontal="center"/>
    </xf>
    <xf numFmtId="1" fontId="17" fillId="0" borderId="13" xfId="0" applyNumberFormat="1" applyFont="1" applyBorder="1" applyAlignment="1">
      <alignment horizontal="center"/>
    </xf>
    <xf numFmtId="15" fontId="10" fillId="2" borderId="5" xfId="0" applyNumberFormat="1" applyFont="1" applyFill="1" applyBorder="1" applyAlignment="1">
      <alignment horizontal="center" vertical="center" wrapText="1"/>
    </xf>
    <xf numFmtId="20" fontId="11" fillId="2" borderId="5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3" fillId="7" borderId="4" xfId="0" applyFont="1" applyFill="1" applyBorder="1" applyAlignment="1">
      <alignment wrapText="1"/>
    </xf>
    <xf numFmtId="0" fontId="13" fillId="7" borderId="5" xfId="0" applyFont="1" applyFill="1" applyBorder="1" applyAlignment="1">
      <alignment wrapText="1"/>
    </xf>
    <xf numFmtId="0" fontId="10" fillId="6" borderId="7" xfId="0" applyFont="1" applyFill="1" applyBorder="1" applyAlignment="1">
      <alignment wrapText="1"/>
    </xf>
    <xf numFmtId="0" fontId="10" fillId="6" borderId="2" xfId="0" applyFont="1" applyFill="1" applyBorder="1" applyAlignment="1">
      <alignment wrapText="1"/>
    </xf>
    <xf numFmtId="0" fontId="13" fillId="7" borderId="8" xfId="0" applyFont="1" applyFill="1" applyBorder="1" applyAlignment="1">
      <alignment wrapTex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indoor-panel control  (2)'!$C$25:$C$50</c:f>
              <c:numCache>
                <c:formatCode>0.000</c:formatCode>
                <c:ptCount val="26"/>
                <c:pt idx="0">
                  <c:v>1.42</c:v>
                </c:pt>
                <c:pt idx="1">
                  <c:v>2.1</c:v>
                </c:pt>
                <c:pt idx="2">
                  <c:v>2.79</c:v>
                </c:pt>
                <c:pt idx="3">
                  <c:v>3.45</c:v>
                </c:pt>
                <c:pt idx="4">
                  <c:v>4.1399999999999997</c:v>
                </c:pt>
                <c:pt idx="5">
                  <c:v>4.8</c:v>
                </c:pt>
                <c:pt idx="6">
                  <c:v>5.47</c:v>
                </c:pt>
                <c:pt idx="7">
                  <c:v>6.14</c:v>
                </c:pt>
                <c:pt idx="8">
                  <c:v>6.8</c:v>
                </c:pt>
                <c:pt idx="9">
                  <c:v>7.49</c:v>
                </c:pt>
                <c:pt idx="10">
                  <c:v>8.11</c:v>
                </c:pt>
                <c:pt idx="11">
                  <c:v>8.74</c:v>
                </c:pt>
                <c:pt idx="12">
                  <c:v>9.4</c:v>
                </c:pt>
                <c:pt idx="13">
                  <c:v>10.7</c:v>
                </c:pt>
                <c:pt idx="14">
                  <c:v>11.93</c:v>
                </c:pt>
                <c:pt idx="15">
                  <c:v>13.17</c:v>
                </c:pt>
                <c:pt idx="16">
                  <c:v>15.86</c:v>
                </c:pt>
                <c:pt idx="17">
                  <c:v>18.23</c:v>
                </c:pt>
                <c:pt idx="18">
                  <c:v>18.95</c:v>
                </c:pt>
                <c:pt idx="19">
                  <c:v>19.46</c:v>
                </c:pt>
                <c:pt idx="20">
                  <c:v>19.850000000000001</c:v>
                </c:pt>
                <c:pt idx="21">
                  <c:v>20.22</c:v>
                </c:pt>
                <c:pt idx="22">
                  <c:v>20.51</c:v>
                </c:pt>
                <c:pt idx="23">
                  <c:v>20.71</c:v>
                </c:pt>
                <c:pt idx="24">
                  <c:v>20.81</c:v>
                </c:pt>
                <c:pt idx="25">
                  <c:v>20.93</c:v>
                </c:pt>
              </c:numCache>
            </c:numRef>
          </c:xVal>
          <c:yVal>
            <c:numRef>
              <c:f>'PV indoor-panel control  (2)'!$D$25:$D$50</c:f>
              <c:numCache>
                <c:formatCode>0.000</c:formatCode>
                <c:ptCount val="26"/>
                <c:pt idx="0">
                  <c:v>0.7</c:v>
                </c:pt>
                <c:pt idx="1">
                  <c:v>0.7</c:v>
                </c:pt>
                <c:pt idx="2">
                  <c:v>0.69</c:v>
                </c:pt>
                <c:pt idx="3">
                  <c:v>0.69</c:v>
                </c:pt>
                <c:pt idx="4">
                  <c:v>0.68</c:v>
                </c:pt>
                <c:pt idx="5">
                  <c:v>0.68</c:v>
                </c:pt>
                <c:pt idx="6">
                  <c:v>0.68</c:v>
                </c:pt>
                <c:pt idx="7">
                  <c:v>0.68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0.65</c:v>
                </c:pt>
                <c:pt idx="18">
                  <c:v>0.56999999999999995</c:v>
                </c:pt>
                <c:pt idx="19">
                  <c:v>0.49</c:v>
                </c:pt>
                <c:pt idx="20">
                  <c:v>0.4</c:v>
                </c:pt>
                <c:pt idx="21">
                  <c:v>0.28999999999999998</c:v>
                </c:pt>
                <c:pt idx="22">
                  <c:v>0.19</c:v>
                </c:pt>
                <c:pt idx="23">
                  <c:v>0.1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B-46D3-913B-30B42DD63607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indoor-panel control  (2)'!$K$25:$K$26</c:f>
              <c:numCache>
                <c:formatCode>0.00</c:formatCode>
                <c:ptCount val="2"/>
                <c:pt idx="0">
                  <c:v>0</c:v>
                </c:pt>
                <c:pt idx="1">
                  <c:v>1.42</c:v>
                </c:pt>
              </c:numCache>
            </c:numRef>
          </c:xVal>
          <c:yVal>
            <c:numRef>
              <c:f>'PV indoor-panel control  (2)'!$L$25:$L$26</c:f>
              <c:numCache>
                <c:formatCode>0.000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B-46D3-913B-30B42DD6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 (2)'!$C$78:$C$103</c:f>
              <c:numCache>
                <c:formatCode>0.000</c:formatCode>
                <c:ptCount val="26"/>
                <c:pt idx="0">
                  <c:v>3.2</c:v>
                </c:pt>
                <c:pt idx="1">
                  <c:v>4.8600000000000003</c:v>
                </c:pt>
                <c:pt idx="2">
                  <c:v>6.44</c:v>
                </c:pt>
                <c:pt idx="3">
                  <c:v>8</c:v>
                </c:pt>
                <c:pt idx="4">
                  <c:v>9.57</c:v>
                </c:pt>
                <c:pt idx="5">
                  <c:v>11.13</c:v>
                </c:pt>
                <c:pt idx="6">
                  <c:v>12.65</c:v>
                </c:pt>
                <c:pt idx="7">
                  <c:v>14.21</c:v>
                </c:pt>
                <c:pt idx="8">
                  <c:v>15.87</c:v>
                </c:pt>
                <c:pt idx="9">
                  <c:v>17.39</c:v>
                </c:pt>
                <c:pt idx="10">
                  <c:v>18</c:v>
                </c:pt>
                <c:pt idx="11">
                  <c:v>18.399999999999999</c:v>
                </c:pt>
                <c:pt idx="12">
                  <c:v>18.690000000000001</c:v>
                </c:pt>
                <c:pt idx="13">
                  <c:v>19.09</c:v>
                </c:pt>
                <c:pt idx="14">
                  <c:v>19.37</c:v>
                </c:pt>
                <c:pt idx="15">
                  <c:v>19.57</c:v>
                </c:pt>
                <c:pt idx="16">
                  <c:v>19.84</c:v>
                </c:pt>
                <c:pt idx="17">
                  <c:v>20.03</c:v>
                </c:pt>
                <c:pt idx="18">
                  <c:v>20.190000000000001</c:v>
                </c:pt>
                <c:pt idx="19">
                  <c:v>20.34</c:v>
                </c:pt>
                <c:pt idx="20">
                  <c:v>20.57</c:v>
                </c:pt>
                <c:pt idx="21">
                  <c:v>20.68</c:v>
                </c:pt>
                <c:pt idx="22">
                  <c:v>20.75</c:v>
                </c:pt>
                <c:pt idx="23">
                  <c:v>20.85</c:v>
                </c:pt>
                <c:pt idx="24">
                  <c:v>20.91</c:v>
                </c:pt>
                <c:pt idx="25">
                  <c:v>20.97</c:v>
                </c:pt>
              </c:numCache>
            </c:numRef>
          </c:xVal>
          <c:yVal>
            <c:numRef>
              <c:f>'PV indoor-panel control  (2)'!$D$78:$D$103</c:f>
              <c:numCache>
                <c:formatCode>0.000</c:formatCode>
                <c:ptCount val="26"/>
                <c:pt idx="0">
                  <c:v>1.62</c:v>
                </c:pt>
                <c:pt idx="1">
                  <c:v>1.61</c:v>
                </c:pt>
                <c:pt idx="2">
                  <c:v>1.61</c:v>
                </c:pt>
                <c:pt idx="3">
                  <c:v>1.6</c:v>
                </c:pt>
                <c:pt idx="4">
                  <c:v>1.59</c:v>
                </c:pt>
                <c:pt idx="5">
                  <c:v>1.59</c:v>
                </c:pt>
                <c:pt idx="6">
                  <c:v>1.58</c:v>
                </c:pt>
                <c:pt idx="7">
                  <c:v>1.58</c:v>
                </c:pt>
                <c:pt idx="8">
                  <c:v>1.59</c:v>
                </c:pt>
                <c:pt idx="9">
                  <c:v>1.58</c:v>
                </c:pt>
                <c:pt idx="10">
                  <c:v>1.5</c:v>
                </c:pt>
                <c:pt idx="11">
                  <c:v>1.42</c:v>
                </c:pt>
                <c:pt idx="12">
                  <c:v>1.34</c:v>
                </c:pt>
                <c:pt idx="13">
                  <c:v>1.19</c:v>
                </c:pt>
                <c:pt idx="14">
                  <c:v>1.08</c:v>
                </c:pt>
                <c:pt idx="15">
                  <c:v>0.98</c:v>
                </c:pt>
                <c:pt idx="16">
                  <c:v>0.83</c:v>
                </c:pt>
                <c:pt idx="17">
                  <c:v>0.72</c:v>
                </c:pt>
                <c:pt idx="18">
                  <c:v>0.61</c:v>
                </c:pt>
                <c:pt idx="19">
                  <c:v>0.51</c:v>
                </c:pt>
                <c:pt idx="20">
                  <c:v>0.41</c:v>
                </c:pt>
                <c:pt idx="21">
                  <c:v>0.3</c:v>
                </c:pt>
                <c:pt idx="22">
                  <c:v>0.1</c:v>
                </c:pt>
                <c:pt idx="23">
                  <c:v>0.1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7-4731-9C3C-94FD5C9C5E0A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 (2)'!$K$78:$K$79</c:f>
              <c:numCache>
                <c:formatCode>0.00</c:formatCode>
                <c:ptCount val="2"/>
                <c:pt idx="0">
                  <c:v>0</c:v>
                </c:pt>
                <c:pt idx="1">
                  <c:v>3.2</c:v>
                </c:pt>
              </c:numCache>
            </c:numRef>
          </c:xVal>
          <c:yVal>
            <c:numRef>
              <c:f>'PV indoor-panel control  (2)'!$L$78:$L$79</c:f>
              <c:numCache>
                <c:formatCode>0.000</c:formatCode>
                <c:ptCount val="2"/>
                <c:pt idx="0">
                  <c:v>1.639277108433735</c:v>
                </c:pt>
                <c:pt idx="1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7-4731-9C3C-94FD5C9C5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203829383430829E-2"/>
          <c:y val="0.11776931018637321"/>
          <c:w val="0.87075386481844064"/>
          <c:h val="0.70693961221481572"/>
        </c:manualLayout>
      </c:layout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 (2)'!$C$131:$C$156</c:f>
              <c:numCache>
                <c:formatCode>0.000</c:formatCode>
                <c:ptCount val="26"/>
                <c:pt idx="0">
                  <c:v>3.74</c:v>
                </c:pt>
                <c:pt idx="1">
                  <c:v>5.58</c:v>
                </c:pt>
                <c:pt idx="2">
                  <c:v>7.36</c:v>
                </c:pt>
                <c:pt idx="3">
                  <c:v>9.19</c:v>
                </c:pt>
                <c:pt idx="4">
                  <c:v>10.97</c:v>
                </c:pt>
                <c:pt idx="5">
                  <c:v>12.72</c:v>
                </c:pt>
                <c:pt idx="6">
                  <c:v>14.58</c:v>
                </c:pt>
                <c:pt idx="7">
                  <c:v>16.55</c:v>
                </c:pt>
                <c:pt idx="8">
                  <c:v>17.68</c:v>
                </c:pt>
                <c:pt idx="9">
                  <c:v>18.18</c:v>
                </c:pt>
                <c:pt idx="10">
                  <c:v>18.510000000000002</c:v>
                </c:pt>
                <c:pt idx="11">
                  <c:v>18.77</c:v>
                </c:pt>
                <c:pt idx="12">
                  <c:v>18.98</c:v>
                </c:pt>
                <c:pt idx="13">
                  <c:v>19.29</c:v>
                </c:pt>
                <c:pt idx="14">
                  <c:v>19.489999999999998</c:v>
                </c:pt>
                <c:pt idx="15">
                  <c:v>19.649999999999999</c:v>
                </c:pt>
                <c:pt idx="16">
                  <c:v>19.97</c:v>
                </c:pt>
                <c:pt idx="17">
                  <c:v>20.03</c:v>
                </c:pt>
                <c:pt idx="18">
                  <c:v>20.170000000000002</c:v>
                </c:pt>
                <c:pt idx="19">
                  <c:v>20.3</c:v>
                </c:pt>
                <c:pt idx="20">
                  <c:v>20.41</c:v>
                </c:pt>
                <c:pt idx="21">
                  <c:v>20.55</c:v>
                </c:pt>
                <c:pt idx="22">
                  <c:v>20.66</c:v>
                </c:pt>
                <c:pt idx="23">
                  <c:v>20.76</c:v>
                </c:pt>
                <c:pt idx="24">
                  <c:v>20.82</c:v>
                </c:pt>
                <c:pt idx="25">
                  <c:v>20.87</c:v>
                </c:pt>
              </c:numCache>
            </c:numRef>
          </c:xVal>
          <c:yVal>
            <c:numRef>
              <c:f>'PV indoor-panel control  (2)'!$D$131:$D$156</c:f>
              <c:numCache>
                <c:formatCode>0.000</c:formatCode>
                <c:ptCount val="26"/>
                <c:pt idx="0">
                  <c:v>1.85</c:v>
                </c:pt>
                <c:pt idx="1">
                  <c:v>1.84</c:v>
                </c:pt>
                <c:pt idx="2">
                  <c:v>1.84</c:v>
                </c:pt>
                <c:pt idx="3">
                  <c:v>1.83</c:v>
                </c:pt>
                <c:pt idx="4">
                  <c:v>1.83</c:v>
                </c:pt>
                <c:pt idx="5">
                  <c:v>1.82</c:v>
                </c:pt>
                <c:pt idx="6">
                  <c:v>1.82</c:v>
                </c:pt>
                <c:pt idx="7">
                  <c:v>1.8</c:v>
                </c:pt>
                <c:pt idx="8">
                  <c:v>1.77</c:v>
                </c:pt>
                <c:pt idx="9">
                  <c:v>1.65</c:v>
                </c:pt>
                <c:pt idx="10">
                  <c:v>1.54</c:v>
                </c:pt>
                <c:pt idx="11">
                  <c:v>1.45</c:v>
                </c:pt>
                <c:pt idx="12">
                  <c:v>1.36</c:v>
                </c:pt>
                <c:pt idx="13">
                  <c:v>1.21</c:v>
                </c:pt>
                <c:pt idx="14">
                  <c:v>1.08</c:v>
                </c:pt>
                <c:pt idx="15">
                  <c:v>0.98</c:v>
                </c:pt>
                <c:pt idx="16">
                  <c:v>0.83</c:v>
                </c:pt>
                <c:pt idx="17">
                  <c:v>0.72</c:v>
                </c:pt>
                <c:pt idx="18">
                  <c:v>0.61</c:v>
                </c:pt>
                <c:pt idx="19">
                  <c:v>0.51</c:v>
                </c:pt>
                <c:pt idx="20">
                  <c:v>0.41</c:v>
                </c:pt>
                <c:pt idx="21">
                  <c:v>0.28999999999999998</c:v>
                </c:pt>
                <c:pt idx="22">
                  <c:v>0.19</c:v>
                </c:pt>
                <c:pt idx="23">
                  <c:v>0.1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F-4997-8555-410699C4E111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 (2)'!$K$131:$K$132</c:f>
              <c:numCache>
                <c:formatCode>0.00</c:formatCode>
                <c:ptCount val="2"/>
                <c:pt idx="0">
                  <c:v>0</c:v>
                </c:pt>
                <c:pt idx="1">
                  <c:v>3.74</c:v>
                </c:pt>
              </c:numCache>
            </c:numRef>
          </c:xVal>
          <c:yVal>
            <c:numRef>
              <c:f>'PV indoor-panel control  (2)'!$L$131:$L$132</c:f>
              <c:numCache>
                <c:formatCode>0.000</c:formatCode>
                <c:ptCount val="2"/>
                <c:pt idx="0">
                  <c:v>1.8703260869565219</c:v>
                </c:pt>
                <c:pt idx="1">
                  <c:v>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2F-4997-8555-410699C4E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 (2)'!$C$184:$C$209</c:f>
              <c:numCache>
                <c:formatCode>0.000</c:formatCode>
                <c:ptCount val="26"/>
                <c:pt idx="0">
                  <c:v>1.44</c:v>
                </c:pt>
                <c:pt idx="1">
                  <c:v>2.14</c:v>
                </c:pt>
                <c:pt idx="2">
                  <c:v>2.82</c:v>
                </c:pt>
                <c:pt idx="3">
                  <c:v>3.51</c:v>
                </c:pt>
                <c:pt idx="4">
                  <c:v>4.2300000000000004</c:v>
                </c:pt>
                <c:pt idx="5">
                  <c:v>4.9000000000000004</c:v>
                </c:pt>
                <c:pt idx="6">
                  <c:v>5.58</c:v>
                </c:pt>
                <c:pt idx="7">
                  <c:v>6.25</c:v>
                </c:pt>
                <c:pt idx="8">
                  <c:v>6.94</c:v>
                </c:pt>
                <c:pt idx="9">
                  <c:v>7.6</c:v>
                </c:pt>
                <c:pt idx="10">
                  <c:v>8.2899999999999991</c:v>
                </c:pt>
                <c:pt idx="11">
                  <c:v>8.92</c:v>
                </c:pt>
                <c:pt idx="12">
                  <c:v>9.58</c:v>
                </c:pt>
                <c:pt idx="13">
                  <c:v>10.9</c:v>
                </c:pt>
                <c:pt idx="14">
                  <c:v>12.2</c:v>
                </c:pt>
                <c:pt idx="15">
                  <c:v>13.46</c:v>
                </c:pt>
                <c:pt idx="16">
                  <c:v>16.239999999999998</c:v>
                </c:pt>
                <c:pt idx="17">
                  <c:v>18.649999999999999</c:v>
                </c:pt>
                <c:pt idx="18">
                  <c:v>19.41</c:v>
                </c:pt>
                <c:pt idx="19">
                  <c:v>19.850000000000001</c:v>
                </c:pt>
                <c:pt idx="20">
                  <c:v>20.350000000000001</c:v>
                </c:pt>
                <c:pt idx="21">
                  <c:v>20.71</c:v>
                </c:pt>
                <c:pt idx="22">
                  <c:v>20.99</c:v>
                </c:pt>
                <c:pt idx="23">
                  <c:v>21.19</c:v>
                </c:pt>
                <c:pt idx="24">
                  <c:v>21.3</c:v>
                </c:pt>
                <c:pt idx="25">
                  <c:v>21.41</c:v>
                </c:pt>
              </c:numCache>
            </c:numRef>
          </c:xVal>
          <c:yVal>
            <c:numRef>
              <c:f>'PV indoor-panel control  (2)'!$D$184:$D$209</c:f>
              <c:numCache>
                <c:formatCode>0.000</c:formatCode>
                <c:ptCount val="26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0.69</c:v>
                </c:pt>
                <c:pt idx="12">
                  <c:v>0.69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0.67</c:v>
                </c:pt>
                <c:pt idx="18">
                  <c:v>0.59</c:v>
                </c:pt>
                <c:pt idx="19">
                  <c:v>0.5</c:v>
                </c:pt>
                <c:pt idx="20">
                  <c:v>0.41</c:v>
                </c:pt>
                <c:pt idx="21">
                  <c:v>0.3</c:v>
                </c:pt>
                <c:pt idx="22">
                  <c:v>0.19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7-4361-919E-524B331A84C8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 (2)'!$K$184:$K$185</c:f>
              <c:numCache>
                <c:formatCode>0.00</c:formatCode>
                <c:ptCount val="2"/>
                <c:pt idx="0">
                  <c:v>0</c:v>
                </c:pt>
                <c:pt idx="1">
                  <c:v>1.44</c:v>
                </c:pt>
              </c:numCache>
            </c:numRef>
          </c:xVal>
          <c:yVal>
            <c:numRef>
              <c:f>'PV indoor-panel control  (2)'!$L$184:$L$185</c:f>
              <c:numCache>
                <c:formatCode>0.000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7-4361-919E-524B331A8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 (2)'!$C$237:$C$262</c:f>
              <c:numCache>
                <c:formatCode>0.000</c:formatCode>
                <c:ptCount val="26"/>
                <c:pt idx="0">
                  <c:v>2.84</c:v>
                </c:pt>
                <c:pt idx="1">
                  <c:v>4.2300000000000004</c:v>
                </c:pt>
                <c:pt idx="2">
                  <c:v>5.6</c:v>
                </c:pt>
                <c:pt idx="3">
                  <c:v>6.94</c:v>
                </c:pt>
                <c:pt idx="4">
                  <c:v>8.25</c:v>
                </c:pt>
                <c:pt idx="5">
                  <c:v>9.5500000000000007</c:v>
                </c:pt>
                <c:pt idx="6">
                  <c:v>10.91</c:v>
                </c:pt>
                <c:pt idx="7">
                  <c:v>12.26</c:v>
                </c:pt>
                <c:pt idx="8">
                  <c:v>13.61</c:v>
                </c:pt>
                <c:pt idx="9">
                  <c:v>14.19</c:v>
                </c:pt>
                <c:pt idx="10">
                  <c:v>16.45</c:v>
                </c:pt>
                <c:pt idx="11">
                  <c:v>17.96</c:v>
                </c:pt>
                <c:pt idx="12">
                  <c:v>18.57</c:v>
                </c:pt>
                <c:pt idx="13">
                  <c:v>19.18</c:v>
                </c:pt>
                <c:pt idx="14">
                  <c:v>19.559999999999999</c:v>
                </c:pt>
                <c:pt idx="15">
                  <c:v>19.82</c:v>
                </c:pt>
                <c:pt idx="16">
                  <c:v>20.170000000000002</c:v>
                </c:pt>
                <c:pt idx="17">
                  <c:v>20.39</c:v>
                </c:pt>
                <c:pt idx="18">
                  <c:v>20.58</c:v>
                </c:pt>
                <c:pt idx="19">
                  <c:v>20.76</c:v>
                </c:pt>
                <c:pt idx="20">
                  <c:v>20.91</c:v>
                </c:pt>
                <c:pt idx="21">
                  <c:v>21.08</c:v>
                </c:pt>
                <c:pt idx="22">
                  <c:v>21.23</c:v>
                </c:pt>
                <c:pt idx="23">
                  <c:v>21.35</c:v>
                </c:pt>
                <c:pt idx="24">
                  <c:v>21.42</c:v>
                </c:pt>
                <c:pt idx="25">
                  <c:v>21.5</c:v>
                </c:pt>
              </c:numCache>
            </c:numRef>
          </c:xVal>
          <c:yVal>
            <c:numRef>
              <c:f>'PV indoor-panel control  (2)'!$D$237:$D$262</c:f>
              <c:numCache>
                <c:formatCode>0.000</c:formatCode>
                <c:ptCount val="26"/>
                <c:pt idx="0">
                  <c:v>1.4</c:v>
                </c:pt>
                <c:pt idx="1">
                  <c:v>1.4</c:v>
                </c:pt>
                <c:pt idx="2">
                  <c:v>1.39</c:v>
                </c:pt>
                <c:pt idx="3">
                  <c:v>1.39</c:v>
                </c:pt>
                <c:pt idx="4">
                  <c:v>1.38</c:v>
                </c:pt>
                <c:pt idx="5">
                  <c:v>1.36</c:v>
                </c:pt>
                <c:pt idx="6">
                  <c:v>1.36</c:v>
                </c:pt>
                <c:pt idx="7">
                  <c:v>1.36</c:v>
                </c:pt>
                <c:pt idx="8">
                  <c:v>1.36</c:v>
                </c:pt>
                <c:pt idx="9">
                  <c:v>1.36</c:v>
                </c:pt>
                <c:pt idx="10">
                  <c:v>1.37</c:v>
                </c:pt>
                <c:pt idx="11">
                  <c:v>1.38</c:v>
                </c:pt>
                <c:pt idx="12">
                  <c:v>1.33</c:v>
                </c:pt>
                <c:pt idx="13">
                  <c:v>1.2</c:v>
                </c:pt>
                <c:pt idx="14">
                  <c:v>1.0900000000000001</c:v>
                </c:pt>
                <c:pt idx="15">
                  <c:v>0.99</c:v>
                </c:pt>
                <c:pt idx="16">
                  <c:v>0.84</c:v>
                </c:pt>
                <c:pt idx="17">
                  <c:v>0.73</c:v>
                </c:pt>
                <c:pt idx="18">
                  <c:v>0.62</c:v>
                </c:pt>
                <c:pt idx="19">
                  <c:v>0.52</c:v>
                </c:pt>
                <c:pt idx="20">
                  <c:v>0.42</c:v>
                </c:pt>
                <c:pt idx="21">
                  <c:v>0.3</c:v>
                </c:pt>
                <c:pt idx="22">
                  <c:v>0.19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9-4962-8004-D9EA75F0FD50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 (2)'!$K$237:$K$238</c:f>
              <c:numCache>
                <c:formatCode>0.00</c:formatCode>
                <c:ptCount val="2"/>
                <c:pt idx="0">
                  <c:v>0</c:v>
                </c:pt>
                <c:pt idx="1">
                  <c:v>2.84</c:v>
                </c:pt>
              </c:numCache>
            </c:numRef>
          </c:xVal>
          <c:yVal>
            <c:numRef>
              <c:f>'PV indoor-panel control  (2)'!$L$237:$L$238</c:f>
              <c:numCache>
                <c:formatCode>0.000</c:formatCode>
                <c:ptCount val="2"/>
                <c:pt idx="0">
                  <c:v>1.4</c:v>
                </c:pt>
                <c:pt idx="1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9-4962-8004-D9EA75F0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 (2)'!$C$290:$C$315</c:f>
              <c:numCache>
                <c:formatCode>0.000</c:formatCode>
                <c:ptCount val="26"/>
                <c:pt idx="0">
                  <c:v>3.69</c:v>
                </c:pt>
                <c:pt idx="1">
                  <c:v>5.48</c:v>
                </c:pt>
                <c:pt idx="2">
                  <c:v>7.24</c:v>
                </c:pt>
                <c:pt idx="3">
                  <c:v>9.02</c:v>
                </c:pt>
                <c:pt idx="4">
                  <c:v>10.83</c:v>
                </c:pt>
                <c:pt idx="5">
                  <c:v>12.57</c:v>
                </c:pt>
                <c:pt idx="6">
                  <c:v>14.33</c:v>
                </c:pt>
                <c:pt idx="7">
                  <c:v>16.13</c:v>
                </c:pt>
                <c:pt idx="8">
                  <c:v>17.96</c:v>
                </c:pt>
                <c:pt idx="9">
                  <c:v>18.829999999999998</c:v>
                </c:pt>
                <c:pt idx="10">
                  <c:v>19.28</c:v>
                </c:pt>
                <c:pt idx="11">
                  <c:v>19.579999999999998</c:v>
                </c:pt>
                <c:pt idx="12">
                  <c:v>19.82</c:v>
                </c:pt>
                <c:pt idx="13">
                  <c:v>20.18</c:v>
                </c:pt>
                <c:pt idx="14">
                  <c:v>20.420000000000002</c:v>
                </c:pt>
                <c:pt idx="15">
                  <c:v>20.59</c:v>
                </c:pt>
                <c:pt idx="16">
                  <c:v>20.84</c:v>
                </c:pt>
                <c:pt idx="17">
                  <c:v>21.01</c:v>
                </c:pt>
                <c:pt idx="18">
                  <c:v>21.15</c:v>
                </c:pt>
                <c:pt idx="19">
                  <c:v>21.29</c:v>
                </c:pt>
                <c:pt idx="20">
                  <c:v>21.41</c:v>
                </c:pt>
                <c:pt idx="21">
                  <c:v>21.56</c:v>
                </c:pt>
                <c:pt idx="22">
                  <c:v>21.68</c:v>
                </c:pt>
                <c:pt idx="23">
                  <c:v>21.77</c:v>
                </c:pt>
                <c:pt idx="24">
                  <c:v>21.82</c:v>
                </c:pt>
                <c:pt idx="25">
                  <c:v>21.88</c:v>
                </c:pt>
              </c:numCache>
            </c:numRef>
          </c:xVal>
          <c:yVal>
            <c:numRef>
              <c:f>'PV indoor-panel control  (2)'!$D$290:$D$315</c:f>
              <c:numCache>
                <c:formatCode>0.000</c:formatCode>
                <c:ptCount val="26"/>
                <c:pt idx="0">
                  <c:v>1.82</c:v>
                </c:pt>
                <c:pt idx="1">
                  <c:v>1.81</c:v>
                </c:pt>
                <c:pt idx="2">
                  <c:v>1.81</c:v>
                </c:pt>
                <c:pt idx="3">
                  <c:v>1.8</c:v>
                </c:pt>
                <c:pt idx="4">
                  <c:v>1.8</c:v>
                </c:pt>
                <c:pt idx="5">
                  <c:v>1.79</c:v>
                </c:pt>
                <c:pt idx="6">
                  <c:v>1.79</c:v>
                </c:pt>
                <c:pt idx="7">
                  <c:v>1.79</c:v>
                </c:pt>
                <c:pt idx="8">
                  <c:v>1.79</c:v>
                </c:pt>
                <c:pt idx="9">
                  <c:v>1.71</c:v>
                </c:pt>
                <c:pt idx="10">
                  <c:v>1.61</c:v>
                </c:pt>
                <c:pt idx="11">
                  <c:v>1.51</c:v>
                </c:pt>
                <c:pt idx="12">
                  <c:v>1.42</c:v>
                </c:pt>
                <c:pt idx="13">
                  <c:v>1.26</c:v>
                </c:pt>
                <c:pt idx="14">
                  <c:v>1.1399999999999999</c:v>
                </c:pt>
                <c:pt idx="15">
                  <c:v>1.03</c:v>
                </c:pt>
                <c:pt idx="16">
                  <c:v>0.87</c:v>
                </c:pt>
                <c:pt idx="17">
                  <c:v>0.75</c:v>
                </c:pt>
                <c:pt idx="18">
                  <c:v>0.68</c:v>
                </c:pt>
                <c:pt idx="19">
                  <c:v>0.57999999999999996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5F-48AE-923A-07821E92E62B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 (2)'!$K$290:$K$291</c:f>
              <c:numCache>
                <c:formatCode>0.00</c:formatCode>
                <c:ptCount val="2"/>
                <c:pt idx="0">
                  <c:v>0</c:v>
                </c:pt>
                <c:pt idx="1">
                  <c:v>3.69</c:v>
                </c:pt>
              </c:numCache>
            </c:numRef>
          </c:xVal>
          <c:yVal>
            <c:numRef>
              <c:f>'PV indoor-panel control  (2)'!$L$290:$L$291</c:f>
              <c:numCache>
                <c:formatCode>0.000</c:formatCode>
                <c:ptCount val="2"/>
                <c:pt idx="0">
                  <c:v>1.8406145251396648</c:v>
                </c:pt>
                <c:pt idx="1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F-48AE-923A-07821E92E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control'!$C$25:$C$50</c:f>
              <c:numCache>
                <c:formatCode>0.000</c:formatCode>
                <c:ptCount val="26"/>
                <c:pt idx="0">
                  <c:v>8.1999999999999993</c:v>
                </c:pt>
                <c:pt idx="1">
                  <c:v>12.2</c:v>
                </c:pt>
                <c:pt idx="2">
                  <c:v>15.63</c:v>
                </c:pt>
                <c:pt idx="3">
                  <c:v>17.350000000000001</c:v>
                </c:pt>
                <c:pt idx="4">
                  <c:v>18.3</c:v>
                </c:pt>
                <c:pt idx="5">
                  <c:v>18.899999999999999</c:v>
                </c:pt>
                <c:pt idx="6">
                  <c:v>19.34</c:v>
                </c:pt>
                <c:pt idx="7">
                  <c:v>19.66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20.25</c:v>
                </c:pt>
                <c:pt idx="11">
                  <c:v>20.39</c:v>
                </c:pt>
                <c:pt idx="12">
                  <c:v>20.49</c:v>
                </c:pt>
                <c:pt idx="13">
                  <c:v>20.68</c:v>
                </c:pt>
                <c:pt idx="14">
                  <c:v>20.82</c:v>
                </c:pt>
                <c:pt idx="15">
                  <c:v>20.93</c:v>
                </c:pt>
                <c:pt idx="16">
                  <c:v>21.09</c:v>
                </c:pt>
                <c:pt idx="17">
                  <c:v>21.21</c:v>
                </c:pt>
                <c:pt idx="18">
                  <c:v>21.32</c:v>
                </c:pt>
                <c:pt idx="19">
                  <c:v>21.43</c:v>
                </c:pt>
                <c:pt idx="20">
                  <c:v>21.54</c:v>
                </c:pt>
                <c:pt idx="21">
                  <c:v>21.66</c:v>
                </c:pt>
                <c:pt idx="22">
                  <c:v>21.76</c:v>
                </c:pt>
                <c:pt idx="23">
                  <c:v>21.84</c:v>
                </c:pt>
                <c:pt idx="24">
                  <c:v>21.86</c:v>
                </c:pt>
                <c:pt idx="25">
                  <c:v>21.89</c:v>
                </c:pt>
              </c:numCache>
            </c:numRef>
          </c:xVal>
          <c:yVal>
            <c:numRef>
              <c:f>'PV Lab Data-panel control'!$D$25:$D$50</c:f>
              <c:numCache>
                <c:formatCode>0.000</c:formatCode>
                <c:ptCount val="26"/>
                <c:pt idx="0">
                  <c:v>4.0599999999999996</c:v>
                </c:pt>
                <c:pt idx="1">
                  <c:v>4</c:v>
                </c:pt>
                <c:pt idx="2">
                  <c:v>3.9</c:v>
                </c:pt>
                <c:pt idx="3">
                  <c:v>3.47</c:v>
                </c:pt>
                <c:pt idx="4">
                  <c:v>3.05</c:v>
                </c:pt>
                <c:pt idx="5">
                  <c:v>2.7</c:v>
                </c:pt>
                <c:pt idx="6">
                  <c:v>2.42</c:v>
                </c:pt>
                <c:pt idx="7">
                  <c:v>2.1800000000000002</c:v>
                </c:pt>
                <c:pt idx="8">
                  <c:v>1.99</c:v>
                </c:pt>
                <c:pt idx="9">
                  <c:v>1.83</c:v>
                </c:pt>
                <c:pt idx="10">
                  <c:v>1.69</c:v>
                </c:pt>
                <c:pt idx="11">
                  <c:v>1.57</c:v>
                </c:pt>
                <c:pt idx="12">
                  <c:v>1.47</c:v>
                </c:pt>
                <c:pt idx="13">
                  <c:v>1.3</c:v>
                </c:pt>
                <c:pt idx="14">
                  <c:v>1.1599999999999999</c:v>
                </c:pt>
                <c:pt idx="15">
                  <c:v>1.05</c:v>
                </c:pt>
                <c:pt idx="16">
                  <c:v>0.88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C-DD4D-BE56-9E9CB2D5BF43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control'!$K$25:$K$26</c:f>
              <c:numCache>
                <c:formatCode>0.00</c:formatCode>
                <c:ptCount val="2"/>
                <c:pt idx="0">
                  <c:v>0</c:v>
                </c:pt>
                <c:pt idx="1">
                  <c:v>8.1999999999999993</c:v>
                </c:pt>
              </c:numCache>
            </c:numRef>
          </c:xVal>
          <c:yVal>
            <c:numRef>
              <c:f>'PV Lab Data-panel control'!$L$25:$L$26</c:f>
              <c:numCache>
                <c:formatCode>0.000</c:formatCode>
                <c:ptCount val="2"/>
                <c:pt idx="0">
                  <c:v>4.1829999999999989</c:v>
                </c:pt>
                <c:pt idx="1">
                  <c:v>4.0599999999999996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D-4915-963C-607645868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control'!$C$25:$C$50</c:f>
              <c:numCache>
                <c:formatCode>0.000</c:formatCode>
                <c:ptCount val="26"/>
                <c:pt idx="0">
                  <c:v>8.1999999999999993</c:v>
                </c:pt>
                <c:pt idx="1">
                  <c:v>12.2</c:v>
                </c:pt>
                <c:pt idx="2">
                  <c:v>15.63</c:v>
                </c:pt>
                <c:pt idx="3">
                  <c:v>17.350000000000001</c:v>
                </c:pt>
                <c:pt idx="4">
                  <c:v>18.3</c:v>
                </c:pt>
                <c:pt idx="5">
                  <c:v>18.899999999999999</c:v>
                </c:pt>
                <c:pt idx="6">
                  <c:v>19.34</c:v>
                </c:pt>
                <c:pt idx="7">
                  <c:v>19.66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20.25</c:v>
                </c:pt>
                <c:pt idx="11">
                  <c:v>20.39</c:v>
                </c:pt>
                <c:pt idx="12">
                  <c:v>20.49</c:v>
                </c:pt>
                <c:pt idx="13">
                  <c:v>20.68</c:v>
                </c:pt>
                <c:pt idx="14">
                  <c:v>20.82</c:v>
                </c:pt>
                <c:pt idx="15">
                  <c:v>20.93</c:v>
                </c:pt>
                <c:pt idx="16">
                  <c:v>21.09</c:v>
                </c:pt>
                <c:pt idx="17">
                  <c:v>21.21</c:v>
                </c:pt>
                <c:pt idx="18">
                  <c:v>21.32</c:v>
                </c:pt>
                <c:pt idx="19">
                  <c:v>21.43</c:v>
                </c:pt>
                <c:pt idx="20">
                  <c:v>21.54</c:v>
                </c:pt>
                <c:pt idx="21">
                  <c:v>21.66</c:v>
                </c:pt>
                <c:pt idx="22">
                  <c:v>21.76</c:v>
                </c:pt>
                <c:pt idx="23">
                  <c:v>21.84</c:v>
                </c:pt>
                <c:pt idx="24">
                  <c:v>21.86</c:v>
                </c:pt>
                <c:pt idx="25">
                  <c:v>21.89</c:v>
                </c:pt>
              </c:numCache>
            </c:numRef>
          </c:xVal>
          <c:yVal>
            <c:numRef>
              <c:f>'PV Lab Data-panel control'!$D$25:$D$50</c:f>
              <c:numCache>
                <c:formatCode>0.000</c:formatCode>
                <c:ptCount val="26"/>
                <c:pt idx="0">
                  <c:v>4.0599999999999996</c:v>
                </c:pt>
                <c:pt idx="1">
                  <c:v>4</c:v>
                </c:pt>
                <c:pt idx="2">
                  <c:v>3.9</c:v>
                </c:pt>
                <c:pt idx="3">
                  <c:v>3.47</c:v>
                </c:pt>
                <c:pt idx="4">
                  <c:v>3.05</c:v>
                </c:pt>
                <c:pt idx="5">
                  <c:v>2.7</c:v>
                </c:pt>
                <c:pt idx="6">
                  <c:v>2.42</c:v>
                </c:pt>
                <c:pt idx="7">
                  <c:v>2.1800000000000002</c:v>
                </c:pt>
                <c:pt idx="8">
                  <c:v>1.99</c:v>
                </c:pt>
                <c:pt idx="9">
                  <c:v>1.83</c:v>
                </c:pt>
                <c:pt idx="10">
                  <c:v>1.69</c:v>
                </c:pt>
                <c:pt idx="11">
                  <c:v>1.57</c:v>
                </c:pt>
                <c:pt idx="12">
                  <c:v>1.47</c:v>
                </c:pt>
                <c:pt idx="13">
                  <c:v>1.3</c:v>
                </c:pt>
                <c:pt idx="14">
                  <c:v>1.1599999999999999</c:v>
                </c:pt>
                <c:pt idx="15">
                  <c:v>1.05</c:v>
                </c:pt>
                <c:pt idx="16">
                  <c:v>0.88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6-384A-93C6-638DB783538B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control'!$K$80:$K$81</c:f>
              <c:numCache>
                <c:formatCode>0.00</c:formatCode>
                <c:ptCount val="2"/>
                <c:pt idx="0">
                  <c:v>0</c:v>
                </c:pt>
                <c:pt idx="1">
                  <c:v>8.5399999999999991</c:v>
                </c:pt>
              </c:numCache>
            </c:numRef>
          </c:xVal>
          <c:yVal>
            <c:numRef>
              <c:f>'PV Lab Data-panel control'!$L$80:$L$81</c:f>
              <c:numCache>
                <c:formatCode>0.000</c:formatCode>
                <c:ptCount val="2"/>
                <c:pt idx="0">
                  <c:v>4.151290322580647</c:v>
                </c:pt>
                <c:pt idx="1">
                  <c:v>4.2300000000000004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7-4861-8DBB-556A7D55D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control'!$C$25:$C$50</c:f>
              <c:numCache>
                <c:formatCode>0.000</c:formatCode>
                <c:ptCount val="26"/>
                <c:pt idx="0">
                  <c:v>8.1999999999999993</c:v>
                </c:pt>
                <c:pt idx="1">
                  <c:v>12.2</c:v>
                </c:pt>
                <c:pt idx="2">
                  <c:v>15.63</c:v>
                </c:pt>
                <c:pt idx="3">
                  <c:v>17.350000000000001</c:v>
                </c:pt>
                <c:pt idx="4">
                  <c:v>18.3</c:v>
                </c:pt>
                <c:pt idx="5">
                  <c:v>18.899999999999999</c:v>
                </c:pt>
                <c:pt idx="6">
                  <c:v>19.34</c:v>
                </c:pt>
                <c:pt idx="7">
                  <c:v>19.66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20.25</c:v>
                </c:pt>
                <c:pt idx="11">
                  <c:v>20.39</c:v>
                </c:pt>
                <c:pt idx="12">
                  <c:v>20.49</c:v>
                </c:pt>
                <c:pt idx="13">
                  <c:v>20.68</c:v>
                </c:pt>
                <c:pt idx="14">
                  <c:v>20.82</c:v>
                </c:pt>
                <c:pt idx="15">
                  <c:v>20.93</c:v>
                </c:pt>
                <c:pt idx="16">
                  <c:v>21.09</c:v>
                </c:pt>
                <c:pt idx="17">
                  <c:v>21.21</c:v>
                </c:pt>
                <c:pt idx="18">
                  <c:v>21.32</c:v>
                </c:pt>
                <c:pt idx="19">
                  <c:v>21.43</c:v>
                </c:pt>
                <c:pt idx="20">
                  <c:v>21.54</c:v>
                </c:pt>
                <c:pt idx="21">
                  <c:v>21.66</c:v>
                </c:pt>
                <c:pt idx="22">
                  <c:v>21.76</c:v>
                </c:pt>
                <c:pt idx="23">
                  <c:v>21.84</c:v>
                </c:pt>
                <c:pt idx="24">
                  <c:v>21.86</c:v>
                </c:pt>
                <c:pt idx="25">
                  <c:v>21.89</c:v>
                </c:pt>
              </c:numCache>
            </c:numRef>
          </c:xVal>
          <c:yVal>
            <c:numRef>
              <c:f>'PV Lab Data-panel control'!$D$25:$D$50</c:f>
              <c:numCache>
                <c:formatCode>0.000</c:formatCode>
                <c:ptCount val="26"/>
                <c:pt idx="0">
                  <c:v>4.0599999999999996</c:v>
                </c:pt>
                <c:pt idx="1">
                  <c:v>4</c:v>
                </c:pt>
                <c:pt idx="2">
                  <c:v>3.9</c:v>
                </c:pt>
                <c:pt idx="3">
                  <c:v>3.47</c:v>
                </c:pt>
                <c:pt idx="4">
                  <c:v>3.05</c:v>
                </c:pt>
                <c:pt idx="5">
                  <c:v>2.7</c:v>
                </c:pt>
                <c:pt idx="6">
                  <c:v>2.42</c:v>
                </c:pt>
                <c:pt idx="7">
                  <c:v>2.1800000000000002</c:v>
                </c:pt>
                <c:pt idx="8">
                  <c:v>1.99</c:v>
                </c:pt>
                <c:pt idx="9">
                  <c:v>1.83</c:v>
                </c:pt>
                <c:pt idx="10">
                  <c:v>1.69</c:v>
                </c:pt>
                <c:pt idx="11">
                  <c:v>1.57</c:v>
                </c:pt>
                <c:pt idx="12">
                  <c:v>1.47</c:v>
                </c:pt>
                <c:pt idx="13">
                  <c:v>1.3</c:v>
                </c:pt>
                <c:pt idx="14">
                  <c:v>1.1599999999999999</c:v>
                </c:pt>
                <c:pt idx="15">
                  <c:v>1.05</c:v>
                </c:pt>
                <c:pt idx="16">
                  <c:v>0.88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48-6340-A274-9F82B18885EF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control'!$K$137:$K$138</c:f>
              <c:numCache>
                <c:formatCode>0.00</c:formatCode>
                <c:ptCount val="2"/>
                <c:pt idx="0">
                  <c:v>0</c:v>
                </c:pt>
                <c:pt idx="1">
                  <c:v>8.64</c:v>
                </c:pt>
              </c:numCache>
            </c:numRef>
          </c:xVal>
          <c:yVal>
            <c:numRef>
              <c:f>'PV Lab Data-panel control'!$L$137:$L$138</c:f>
              <c:numCache>
                <c:formatCode>0.000</c:formatCode>
                <c:ptCount val="2"/>
                <c:pt idx="0">
                  <c:v>4.4087755102040802</c:v>
                </c:pt>
                <c:pt idx="1">
                  <c:v>4.3499999999999996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5-4D19-9F67-3435640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control'!$C$25:$C$50</c:f>
              <c:numCache>
                <c:formatCode>0.000</c:formatCode>
                <c:ptCount val="26"/>
                <c:pt idx="0">
                  <c:v>8.1999999999999993</c:v>
                </c:pt>
                <c:pt idx="1">
                  <c:v>12.2</c:v>
                </c:pt>
                <c:pt idx="2">
                  <c:v>15.63</c:v>
                </c:pt>
                <c:pt idx="3">
                  <c:v>17.350000000000001</c:v>
                </c:pt>
                <c:pt idx="4">
                  <c:v>18.3</c:v>
                </c:pt>
                <c:pt idx="5">
                  <c:v>18.899999999999999</c:v>
                </c:pt>
                <c:pt idx="6">
                  <c:v>19.34</c:v>
                </c:pt>
                <c:pt idx="7">
                  <c:v>19.66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20.25</c:v>
                </c:pt>
                <c:pt idx="11">
                  <c:v>20.39</c:v>
                </c:pt>
                <c:pt idx="12">
                  <c:v>20.49</c:v>
                </c:pt>
                <c:pt idx="13">
                  <c:v>20.68</c:v>
                </c:pt>
                <c:pt idx="14">
                  <c:v>20.82</c:v>
                </c:pt>
                <c:pt idx="15">
                  <c:v>20.93</c:v>
                </c:pt>
                <c:pt idx="16">
                  <c:v>21.09</c:v>
                </c:pt>
                <c:pt idx="17">
                  <c:v>21.21</c:v>
                </c:pt>
                <c:pt idx="18">
                  <c:v>21.32</c:v>
                </c:pt>
                <c:pt idx="19">
                  <c:v>21.43</c:v>
                </c:pt>
                <c:pt idx="20">
                  <c:v>21.54</c:v>
                </c:pt>
                <c:pt idx="21">
                  <c:v>21.66</c:v>
                </c:pt>
                <c:pt idx="22">
                  <c:v>21.76</c:v>
                </c:pt>
                <c:pt idx="23">
                  <c:v>21.84</c:v>
                </c:pt>
                <c:pt idx="24">
                  <c:v>21.86</c:v>
                </c:pt>
                <c:pt idx="25">
                  <c:v>21.89</c:v>
                </c:pt>
              </c:numCache>
            </c:numRef>
          </c:xVal>
          <c:yVal>
            <c:numRef>
              <c:f>'PV Lab Data-panel control'!$D$25:$D$50</c:f>
              <c:numCache>
                <c:formatCode>0.000</c:formatCode>
                <c:ptCount val="26"/>
                <c:pt idx="0">
                  <c:v>4.0599999999999996</c:v>
                </c:pt>
                <c:pt idx="1">
                  <c:v>4</c:v>
                </c:pt>
                <c:pt idx="2">
                  <c:v>3.9</c:v>
                </c:pt>
                <c:pt idx="3">
                  <c:v>3.47</c:v>
                </c:pt>
                <c:pt idx="4">
                  <c:v>3.05</c:v>
                </c:pt>
                <c:pt idx="5">
                  <c:v>2.7</c:v>
                </c:pt>
                <c:pt idx="6">
                  <c:v>2.42</c:v>
                </c:pt>
                <c:pt idx="7">
                  <c:v>2.1800000000000002</c:v>
                </c:pt>
                <c:pt idx="8">
                  <c:v>1.99</c:v>
                </c:pt>
                <c:pt idx="9">
                  <c:v>1.83</c:v>
                </c:pt>
                <c:pt idx="10">
                  <c:v>1.69</c:v>
                </c:pt>
                <c:pt idx="11">
                  <c:v>1.57</c:v>
                </c:pt>
                <c:pt idx="12">
                  <c:v>1.47</c:v>
                </c:pt>
                <c:pt idx="13">
                  <c:v>1.3</c:v>
                </c:pt>
                <c:pt idx="14">
                  <c:v>1.1599999999999999</c:v>
                </c:pt>
                <c:pt idx="15">
                  <c:v>1.05</c:v>
                </c:pt>
                <c:pt idx="16">
                  <c:v>0.88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63-8E4E-80E8-D22C8C5959C1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control'!$K$194:$K$195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'PV Lab Data-panel control'!$L$194:$L$195</c:f>
              <c:numCache>
                <c:formatCode>0.000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2-4E87-AE13-A9ECC327C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sunlight'!$C$25:$C$50</c:f>
              <c:numCache>
                <c:formatCode>0.000</c:formatCode>
                <c:ptCount val="26"/>
                <c:pt idx="0">
                  <c:v>9.0399999999999991</c:v>
                </c:pt>
                <c:pt idx="1">
                  <c:v>13.34</c:v>
                </c:pt>
                <c:pt idx="2">
                  <c:v>16.48</c:v>
                </c:pt>
                <c:pt idx="3">
                  <c:v>17.95</c:v>
                </c:pt>
                <c:pt idx="4">
                  <c:v>18.75</c:v>
                </c:pt>
                <c:pt idx="5">
                  <c:v>19.27</c:v>
                </c:pt>
                <c:pt idx="6">
                  <c:v>19.649999999999999</c:v>
                </c:pt>
                <c:pt idx="7">
                  <c:v>19.93</c:v>
                </c:pt>
                <c:pt idx="8">
                  <c:v>20.14</c:v>
                </c:pt>
                <c:pt idx="9">
                  <c:v>20.32</c:v>
                </c:pt>
                <c:pt idx="10">
                  <c:v>20.46</c:v>
                </c:pt>
                <c:pt idx="11">
                  <c:v>20.58</c:v>
                </c:pt>
                <c:pt idx="12">
                  <c:v>20.68</c:v>
                </c:pt>
                <c:pt idx="13">
                  <c:v>20.85</c:v>
                </c:pt>
                <c:pt idx="14">
                  <c:v>20.98</c:v>
                </c:pt>
                <c:pt idx="15">
                  <c:v>21.09</c:v>
                </c:pt>
                <c:pt idx="16">
                  <c:v>21.25</c:v>
                </c:pt>
                <c:pt idx="17">
                  <c:v>21.35</c:v>
                </c:pt>
                <c:pt idx="18">
                  <c:v>21.45</c:v>
                </c:pt>
                <c:pt idx="19">
                  <c:v>21.55</c:v>
                </c:pt>
                <c:pt idx="20">
                  <c:v>21.65</c:v>
                </c:pt>
                <c:pt idx="21">
                  <c:v>21.76</c:v>
                </c:pt>
                <c:pt idx="22">
                  <c:v>21.85</c:v>
                </c:pt>
                <c:pt idx="23">
                  <c:v>21.92</c:v>
                </c:pt>
                <c:pt idx="24">
                  <c:v>21.96</c:v>
                </c:pt>
                <c:pt idx="25">
                  <c:v>21.98</c:v>
                </c:pt>
              </c:numCache>
            </c:numRef>
          </c:xVal>
          <c:yVal>
            <c:numRef>
              <c:f>'PV lab data-panel sunlight'!$D$25:$D$50</c:f>
              <c:numCache>
                <c:formatCode>0.000</c:formatCode>
                <c:ptCount val="26"/>
                <c:pt idx="0">
                  <c:v>4.4800000000000004</c:v>
                </c:pt>
                <c:pt idx="1">
                  <c:v>4.46</c:v>
                </c:pt>
                <c:pt idx="2">
                  <c:v>4.1100000000000003</c:v>
                </c:pt>
                <c:pt idx="3">
                  <c:v>3.58</c:v>
                </c:pt>
                <c:pt idx="4">
                  <c:v>3.12</c:v>
                </c:pt>
                <c:pt idx="5">
                  <c:v>2.75</c:v>
                </c:pt>
                <c:pt idx="6">
                  <c:v>2.4500000000000002</c:v>
                </c:pt>
                <c:pt idx="7">
                  <c:v>2.21</c:v>
                </c:pt>
                <c:pt idx="8">
                  <c:v>2.0099999999999998</c:v>
                </c:pt>
                <c:pt idx="9">
                  <c:v>1.85</c:v>
                </c:pt>
                <c:pt idx="10">
                  <c:v>1.71</c:v>
                </c:pt>
                <c:pt idx="11">
                  <c:v>1.58</c:v>
                </c:pt>
                <c:pt idx="12">
                  <c:v>1.48</c:v>
                </c:pt>
                <c:pt idx="13">
                  <c:v>1.32</c:v>
                </c:pt>
                <c:pt idx="14">
                  <c:v>1.17</c:v>
                </c:pt>
                <c:pt idx="15">
                  <c:v>1.06</c:v>
                </c:pt>
                <c:pt idx="16">
                  <c:v>0.89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1-B544-B001-4EE6A80C309D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sunlight'!$K$25:$K$26</c:f>
              <c:numCache>
                <c:formatCode>0.00</c:formatCode>
                <c:ptCount val="2"/>
                <c:pt idx="0">
                  <c:v>0</c:v>
                </c:pt>
                <c:pt idx="1">
                  <c:v>9.0399999999999991</c:v>
                </c:pt>
              </c:numCache>
            </c:numRef>
          </c:xVal>
          <c:yVal>
            <c:numRef>
              <c:f>'PV lab data-panel sunlight'!$L$25:$L$26</c:f>
              <c:numCache>
                <c:formatCode>0.000</c:formatCode>
                <c:ptCount val="2"/>
                <c:pt idx="0">
                  <c:v>4.5220465116279085</c:v>
                </c:pt>
                <c:pt idx="1">
                  <c:v>4.4800000000000004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1-B544-B001-4EE6A80C3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sunlight'!$C$80:$C$105</c:f>
              <c:numCache>
                <c:formatCode>0.000</c:formatCode>
                <c:ptCount val="26"/>
                <c:pt idx="0">
                  <c:v>9.02</c:v>
                </c:pt>
                <c:pt idx="1">
                  <c:v>13.43</c:v>
                </c:pt>
                <c:pt idx="2">
                  <c:v>16.41</c:v>
                </c:pt>
                <c:pt idx="3">
                  <c:v>17.850000000000001</c:v>
                </c:pt>
                <c:pt idx="4">
                  <c:v>18.63</c:v>
                </c:pt>
                <c:pt idx="5">
                  <c:v>19.16</c:v>
                </c:pt>
                <c:pt idx="6">
                  <c:v>19.54</c:v>
                </c:pt>
                <c:pt idx="7">
                  <c:v>19.829999999999998</c:v>
                </c:pt>
                <c:pt idx="8">
                  <c:v>20.05</c:v>
                </c:pt>
                <c:pt idx="9">
                  <c:v>20.48</c:v>
                </c:pt>
                <c:pt idx="10">
                  <c:v>20.5</c:v>
                </c:pt>
                <c:pt idx="11">
                  <c:v>20.53</c:v>
                </c:pt>
                <c:pt idx="12">
                  <c:v>20.64</c:v>
                </c:pt>
                <c:pt idx="13">
                  <c:v>20.8</c:v>
                </c:pt>
                <c:pt idx="14">
                  <c:v>20.93</c:v>
                </c:pt>
                <c:pt idx="15">
                  <c:v>21.03</c:v>
                </c:pt>
                <c:pt idx="16">
                  <c:v>21.19</c:v>
                </c:pt>
                <c:pt idx="17">
                  <c:v>21.3</c:v>
                </c:pt>
                <c:pt idx="18">
                  <c:v>21.4</c:v>
                </c:pt>
                <c:pt idx="19">
                  <c:v>21.5</c:v>
                </c:pt>
                <c:pt idx="20">
                  <c:v>21.61</c:v>
                </c:pt>
                <c:pt idx="21">
                  <c:v>21.73</c:v>
                </c:pt>
                <c:pt idx="22">
                  <c:v>21.84</c:v>
                </c:pt>
                <c:pt idx="23">
                  <c:v>21.96</c:v>
                </c:pt>
                <c:pt idx="24">
                  <c:v>22.02</c:v>
                </c:pt>
                <c:pt idx="25">
                  <c:v>22.07</c:v>
                </c:pt>
              </c:numCache>
            </c:numRef>
          </c:xVal>
          <c:yVal>
            <c:numRef>
              <c:f>'PV lab data-panel sunlight'!$D$80:$D$105</c:f>
              <c:numCache>
                <c:formatCode>0.000</c:formatCode>
                <c:ptCount val="26"/>
                <c:pt idx="0">
                  <c:v>4.47</c:v>
                </c:pt>
                <c:pt idx="1">
                  <c:v>4.45</c:v>
                </c:pt>
                <c:pt idx="2">
                  <c:v>4.09</c:v>
                </c:pt>
                <c:pt idx="3">
                  <c:v>3.53</c:v>
                </c:pt>
                <c:pt idx="4">
                  <c:v>3.1</c:v>
                </c:pt>
                <c:pt idx="5">
                  <c:v>2.73</c:v>
                </c:pt>
                <c:pt idx="6">
                  <c:v>2.44</c:v>
                </c:pt>
                <c:pt idx="7">
                  <c:v>2.2000000000000002</c:v>
                </c:pt>
                <c:pt idx="8">
                  <c:v>2.0099999999999998</c:v>
                </c:pt>
                <c:pt idx="9">
                  <c:v>1.84</c:v>
                </c:pt>
                <c:pt idx="10">
                  <c:v>1.7</c:v>
                </c:pt>
                <c:pt idx="11">
                  <c:v>1.58</c:v>
                </c:pt>
                <c:pt idx="12">
                  <c:v>1.48</c:v>
                </c:pt>
                <c:pt idx="13">
                  <c:v>1.3</c:v>
                </c:pt>
                <c:pt idx="14">
                  <c:v>1.1599999999999999</c:v>
                </c:pt>
                <c:pt idx="15">
                  <c:v>1.05</c:v>
                </c:pt>
                <c:pt idx="16">
                  <c:v>0.88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5-4908-8762-433E7389F5B8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sunlight'!$K$80:$K$81</c:f>
              <c:numCache>
                <c:formatCode>0.00</c:formatCode>
                <c:ptCount val="2"/>
                <c:pt idx="0">
                  <c:v>0</c:v>
                </c:pt>
                <c:pt idx="1">
                  <c:v>9.02</c:v>
                </c:pt>
              </c:numCache>
            </c:numRef>
          </c:xVal>
          <c:yVal>
            <c:numRef>
              <c:f>'PV lab data-panel sunlight'!$L$80:$L$81</c:f>
              <c:numCache>
                <c:formatCode>0.000</c:formatCode>
                <c:ptCount val="2"/>
                <c:pt idx="0">
                  <c:v>4.5109070294784566</c:v>
                </c:pt>
                <c:pt idx="1">
                  <c:v>4.47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85-4908-8762-433E7389F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sunlight'!$C$135:$C$160</c:f>
              <c:numCache>
                <c:formatCode>0.000</c:formatCode>
                <c:ptCount val="26"/>
                <c:pt idx="0">
                  <c:v>9.0399999999999991</c:v>
                </c:pt>
                <c:pt idx="1">
                  <c:v>13.44</c:v>
                </c:pt>
                <c:pt idx="2">
                  <c:v>16.420000000000002</c:v>
                </c:pt>
                <c:pt idx="3">
                  <c:v>17.86</c:v>
                </c:pt>
                <c:pt idx="4">
                  <c:v>18.66</c:v>
                </c:pt>
                <c:pt idx="5">
                  <c:v>19.18</c:v>
                </c:pt>
                <c:pt idx="6">
                  <c:v>19.55</c:v>
                </c:pt>
                <c:pt idx="7">
                  <c:v>19.829999999999998</c:v>
                </c:pt>
                <c:pt idx="8">
                  <c:v>20.05</c:v>
                </c:pt>
                <c:pt idx="9">
                  <c:v>20.239999999999998</c:v>
                </c:pt>
                <c:pt idx="10">
                  <c:v>20.39</c:v>
                </c:pt>
                <c:pt idx="11">
                  <c:v>20.53</c:v>
                </c:pt>
                <c:pt idx="12">
                  <c:v>20.64</c:v>
                </c:pt>
                <c:pt idx="13">
                  <c:v>20.82</c:v>
                </c:pt>
                <c:pt idx="14">
                  <c:v>20.96</c:v>
                </c:pt>
                <c:pt idx="15">
                  <c:v>21.06</c:v>
                </c:pt>
                <c:pt idx="16">
                  <c:v>21.23</c:v>
                </c:pt>
                <c:pt idx="17">
                  <c:v>21.33</c:v>
                </c:pt>
                <c:pt idx="18">
                  <c:v>21.45</c:v>
                </c:pt>
                <c:pt idx="19">
                  <c:v>21.56</c:v>
                </c:pt>
                <c:pt idx="20">
                  <c:v>21.65</c:v>
                </c:pt>
                <c:pt idx="21">
                  <c:v>21.76</c:v>
                </c:pt>
                <c:pt idx="22">
                  <c:v>21.86</c:v>
                </c:pt>
                <c:pt idx="23">
                  <c:v>21.94</c:v>
                </c:pt>
                <c:pt idx="24">
                  <c:v>21.99</c:v>
                </c:pt>
                <c:pt idx="25">
                  <c:v>22.04</c:v>
                </c:pt>
              </c:numCache>
            </c:numRef>
          </c:xVal>
          <c:yVal>
            <c:numRef>
              <c:f>'PV lab data-panel sunlight'!$D$135:$D$160</c:f>
              <c:numCache>
                <c:formatCode>0.000</c:formatCode>
                <c:ptCount val="26"/>
                <c:pt idx="0">
                  <c:v>4.4800000000000004</c:v>
                </c:pt>
                <c:pt idx="1">
                  <c:v>4.05</c:v>
                </c:pt>
                <c:pt idx="2">
                  <c:v>3.85</c:v>
                </c:pt>
                <c:pt idx="3">
                  <c:v>3.56</c:v>
                </c:pt>
                <c:pt idx="4">
                  <c:v>3.1</c:v>
                </c:pt>
                <c:pt idx="5">
                  <c:v>2.74</c:v>
                </c:pt>
                <c:pt idx="6">
                  <c:v>2.44</c:v>
                </c:pt>
                <c:pt idx="7">
                  <c:v>2.2000000000000002</c:v>
                </c:pt>
                <c:pt idx="8">
                  <c:v>2.0099999999999998</c:v>
                </c:pt>
                <c:pt idx="9">
                  <c:v>1.84</c:v>
                </c:pt>
                <c:pt idx="10">
                  <c:v>1.7</c:v>
                </c:pt>
                <c:pt idx="11">
                  <c:v>1.58</c:v>
                </c:pt>
                <c:pt idx="12">
                  <c:v>1.48</c:v>
                </c:pt>
                <c:pt idx="13">
                  <c:v>1.3</c:v>
                </c:pt>
                <c:pt idx="14">
                  <c:v>1.17</c:v>
                </c:pt>
                <c:pt idx="15">
                  <c:v>1.05</c:v>
                </c:pt>
                <c:pt idx="16">
                  <c:v>0.89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E-4DC9-9A7B-5D6969F51E8F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sunlight'!$K$135:$K$136</c:f>
              <c:numCache>
                <c:formatCode>0.00</c:formatCode>
                <c:ptCount val="2"/>
                <c:pt idx="0">
                  <c:v>0</c:v>
                </c:pt>
                <c:pt idx="1">
                  <c:v>9.0399999999999991</c:v>
                </c:pt>
              </c:numCache>
            </c:numRef>
          </c:xVal>
          <c:yVal>
            <c:numRef>
              <c:f>'PV lab data-panel sunlight'!$L$135:$L$136</c:f>
              <c:numCache>
                <c:formatCode>0.000</c:formatCode>
                <c:ptCount val="2"/>
                <c:pt idx="0">
                  <c:v>4.76</c:v>
                </c:pt>
                <c:pt idx="1">
                  <c:v>4.4800000000000004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E-4DC9-9A7B-5D6969F51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sunlight'!$C$190:$C$215</c:f>
              <c:numCache>
                <c:formatCode>0.000</c:formatCode>
                <c:ptCount val="26"/>
                <c:pt idx="0">
                  <c:v>8.3000000000000007</c:v>
                </c:pt>
                <c:pt idx="1">
                  <c:v>12.48</c:v>
                </c:pt>
                <c:pt idx="2">
                  <c:v>15.82</c:v>
                </c:pt>
                <c:pt idx="3">
                  <c:v>17.649999999999999</c:v>
                </c:pt>
                <c:pt idx="4">
                  <c:v>18.59</c:v>
                </c:pt>
                <c:pt idx="5">
                  <c:v>19.170000000000002</c:v>
                </c:pt>
                <c:pt idx="6">
                  <c:v>19.579999999999998</c:v>
                </c:pt>
                <c:pt idx="7">
                  <c:v>19.57</c:v>
                </c:pt>
                <c:pt idx="8">
                  <c:v>20.100000000000001</c:v>
                </c:pt>
                <c:pt idx="9">
                  <c:v>20.29</c:v>
                </c:pt>
                <c:pt idx="10">
                  <c:v>20.440000000000001</c:v>
                </c:pt>
                <c:pt idx="11">
                  <c:v>20.56</c:v>
                </c:pt>
                <c:pt idx="12">
                  <c:v>20.66</c:v>
                </c:pt>
                <c:pt idx="13">
                  <c:v>20.83</c:v>
                </c:pt>
                <c:pt idx="14">
                  <c:v>20.97</c:v>
                </c:pt>
                <c:pt idx="15">
                  <c:v>21.08</c:v>
                </c:pt>
                <c:pt idx="16">
                  <c:v>21.24</c:v>
                </c:pt>
                <c:pt idx="17">
                  <c:v>21.37</c:v>
                </c:pt>
                <c:pt idx="18">
                  <c:v>21.48</c:v>
                </c:pt>
                <c:pt idx="19">
                  <c:v>21.59</c:v>
                </c:pt>
                <c:pt idx="20">
                  <c:v>21.69</c:v>
                </c:pt>
                <c:pt idx="21">
                  <c:v>21.79</c:v>
                </c:pt>
                <c:pt idx="22">
                  <c:v>21.9</c:v>
                </c:pt>
                <c:pt idx="23">
                  <c:v>21.97</c:v>
                </c:pt>
                <c:pt idx="24">
                  <c:v>22.02</c:v>
                </c:pt>
                <c:pt idx="25">
                  <c:v>22.07</c:v>
                </c:pt>
              </c:numCache>
            </c:numRef>
          </c:xVal>
          <c:yVal>
            <c:numRef>
              <c:f>'PV lab data-panel sunlight'!$D$190:$D$215</c:f>
              <c:numCache>
                <c:formatCode>0.000</c:formatCode>
                <c:ptCount val="26"/>
                <c:pt idx="0">
                  <c:v>4.0999999999999996</c:v>
                </c:pt>
                <c:pt idx="1">
                  <c:v>4.13</c:v>
                </c:pt>
                <c:pt idx="2">
                  <c:v>3.94</c:v>
                </c:pt>
                <c:pt idx="3">
                  <c:v>3.52</c:v>
                </c:pt>
                <c:pt idx="4">
                  <c:v>3.09</c:v>
                </c:pt>
                <c:pt idx="5">
                  <c:v>2.74</c:v>
                </c:pt>
                <c:pt idx="6">
                  <c:v>2.4500000000000002</c:v>
                </c:pt>
                <c:pt idx="7">
                  <c:v>2.21</c:v>
                </c:pt>
                <c:pt idx="8">
                  <c:v>2.0099999999999998</c:v>
                </c:pt>
                <c:pt idx="9">
                  <c:v>1.85</c:v>
                </c:pt>
                <c:pt idx="10">
                  <c:v>1.71</c:v>
                </c:pt>
                <c:pt idx="11">
                  <c:v>1.58</c:v>
                </c:pt>
                <c:pt idx="12">
                  <c:v>1.48</c:v>
                </c:pt>
                <c:pt idx="13">
                  <c:v>1.31</c:v>
                </c:pt>
                <c:pt idx="14">
                  <c:v>1.17</c:v>
                </c:pt>
                <c:pt idx="15">
                  <c:v>1.06</c:v>
                </c:pt>
                <c:pt idx="16">
                  <c:v>0.89</c:v>
                </c:pt>
                <c:pt idx="17">
                  <c:v>0.76</c:v>
                </c:pt>
                <c:pt idx="18">
                  <c:v>0.65</c:v>
                </c:pt>
                <c:pt idx="19">
                  <c:v>0.54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2-43FA-A55B-F80EF8EC2DAB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sunlight'!$K$190:$K$191</c:f>
              <c:numCache>
                <c:formatCode>0.00</c:formatCode>
                <c:ptCount val="2"/>
                <c:pt idx="0">
                  <c:v>0</c:v>
                </c:pt>
                <c:pt idx="1">
                  <c:v>8.3000000000000007</c:v>
                </c:pt>
              </c:numCache>
            </c:numRef>
          </c:xVal>
          <c:yVal>
            <c:numRef>
              <c:f>'PV lab data-panel sunlight'!$L$190:$L$191</c:f>
              <c:numCache>
                <c:formatCode>0.000</c:formatCode>
                <c:ptCount val="2"/>
                <c:pt idx="0">
                  <c:v>4.0404306220095689</c:v>
                </c:pt>
                <c:pt idx="1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2-43FA-A55B-F80EF8EC2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lab data-panel sunlight'!$C$245:$C$279</c:f>
              <c:numCache>
                <c:formatCode>0.000</c:formatCode>
                <c:ptCount val="35"/>
                <c:pt idx="0">
                  <c:v>8.3000000000000007</c:v>
                </c:pt>
                <c:pt idx="1">
                  <c:v>12.4</c:v>
                </c:pt>
                <c:pt idx="2">
                  <c:v>13.67</c:v>
                </c:pt>
                <c:pt idx="3">
                  <c:v>14.7</c:v>
                </c:pt>
                <c:pt idx="4">
                  <c:v>15.63</c:v>
                </c:pt>
                <c:pt idx="5">
                  <c:v>15.89</c:v>
                </c:pt>
                <c:pt idx="6">
                  <c:v>16.38</c:v>
                </c:pt>
                <c:pt idx="7">
                  <c:v>16.97</c:v>
                </c:pt>
                <c:pt idx="8">
                  <c:v>17.46</c:v>
                </c:pt>
                <c:pt idx="9">
                  <c:v>17.73</c:v>
                </c:pt>
                <c:pt idx="10">
                  <c:v>17.850000000000001</c:v>
                </c:pt>
                <c:pt idx="11">
                  <c:v>18.18</c:v>
                </c:pt>
                <c:pt idx="12">
                  <c:v>18.46</c:v>
                </c:pt>
                <c:pt idx="13">
                  <c:v>18.7</c:v>
                </c:pt>
                <c:pt idx="14">
                  <c:v>19.28</c:v>
                </c:pt>
                <c:pt idx="15">
                  <c:v>19.68</c:v>
                </c:pt>
                <c:pt idx="16">
                  <c:v>19.98</c:v>
                </c:pt>
                <c:pt idx="17">
                  <c:v>20.21</c:v>
                </c:pt>
                <c:pt idx="18">
                  <c:v>20.41</c:v>
                </c:pt>
                <c:pt idx="19">
                  <c:v>20.56</c:v>
                </c:pt>
                <c:pt idx="20">
                  <c:v>20.69</c:v>
                </c:pt>
                <c:pt idx="21">
                  <c:v>20.8</c:v>
                </c:pt>
                <c:pt idx="22">
                  <c:v>20.98</c:v>
                </c:pt>
                <c:pt idx="23">
                  <c:v>21.08</c:v>
                </c:pt>
                <c:pt idx="24">
                  <c:v>21.18</c:v>
                </c:pt>
                <c:pt idx="25">
                  <c:v>21.39</c:v>
                </c:pt>
                <c:pt idx="26">
                  <c:v>21.45</c:v>
                </c:pt>
                <c:pt idx="27">
                  <c:v>21.55</c:v>
                </c:pt>
                <c:pt idx="28">
                  <c:v>21.66</c:v>
                </c:pt>
                <c:pt idx="29">
                  <c:v>21.75</c:v>
                </c:pt>
                <c:pt idx="30">
                  <c:v>21.86</c:v>
                </c:pt>
                <c:pt idx="31">
                  <c:v>21.95</c:v>
                </c:pt>
                <c:pt idx="32">
                  <c:v>22.03</c:v>
                </c:pt>
                <c:pt idx="33">
                  <c:v>22.05</c:v>
                </c:pt>
                <c:pt idx="34">
                  <c:v>22.1</c:v>
                </c:pt>
              </c:numCache>
            </c:numRef>
          </c:xVal>
          <c:yVal>
            <c:numRef>
              <c:f>'PV lab data-panel sunlight'!$D$245:$D$279</c:f>
              <c:numCache>
                <c:formatCode>0.000</c:formatCode>
                <c:ptCount val="35"/>
                <c:pt idx="0">
                  <c:v>4.1100000000000003</c:v>
                </c:pt>
                <c:pt idx="1">
                  <c:v>4.12</c:v>
                </c:pt>
                <c:pt idx="2">
                  <c:v>4.1100000000000003</c:v>
                </c:pt>
                <c:pt idx="3">
                  <c:v>4.0599999999999996</c:v>
                </c:pt>
                <c:pt idx="4">
                  <c:v>3.99</c:v>
                </c:pt>
                <c:pt idx="5">
                  <c:v>3.96</c:v>
                </c:pt>
                <c:pt idx="6">
                  <c:v>3.89</c:v>
                </c:pt>
                <c:pt idx="7">
                  <c:v>3.76</c:v>
                </c:pt>
                <c:pt idx="8">
                  <c:v>3.63</c:v>
                </c:pt>
                <c:pt idx="9">
                  <c:v>3.54</c:v>
                </c:pt>
                <c:pt idx="10">
                  <c:v>3.49</c:v>
                </c:pt>
                <c:pt idx="11">
                  <c:v>3.36</c:v>
                </c:pt>
                <c:pt idx="12">
                  <c:v>3.24</c:v>
                </c:pt>
                <c:pt idx="13">
                  <c:v>3.11</c:v>
                </c:pt>
                <c:pt idx="14">
                  <c:v>2.75</c:v>
                </c:pt>
                <c:pt idx="15">
                  <c:v>2.46</c:v>
                </c:pt>
                <c:pt idx="16">
                  <c:v>2.2200000000000002</c:v>
                </c:pt>
                <c:pt idx="17">
                  <c:v>2.02</c:v>
                </c:pt>
                <c:pt idx="18">
                  <c:v>1.86</c:v>
                </c:pt>
                <c:pt idx="19">
                  <c:v>1.72</c:v>
                </c:pt>
                <c:pt idx="20">
                  <c:v>1.59</c:v>
                </c:pt>
                <c:pt idx="21">
                  <c:v>1.49</c:v>
                </c:pt>
                <c:pt idx="22">
                  <c:v>1.3</c:v>
                </c:pt>
                <c:pt idx="23">
                  <c:v>1.17</c:v>
                </c:pt>
                <c:pt idx="24">
                  <c:v>1.06</c:v>
                </c:pt>
                <c:pt idx="25">
                  <c:v>0.89</c:v>
                </c:pt>
                <c:pt idx="26">
                  <c:v>0.77</c:v>
                </c:pt>
                <c:pt idx="27">
                  <c:v>0.65</c:v>
                </c:pt>
                <c:pt idx="28">
                  <c:v>0.54</c:v>
                </c:pt>
                <c:pt idx="29">
                  <c:v>0.44</c:v>
                </c:pt>
                <c:pt idx="30">
                  <c:v>0.31</c:v>
                </c:pt>
                <c:pt idx="31">
                  <c:v>0.2</c:v>
                </c:pt>
                <c:pt idx="32">
                  <c:v>0.11</c:v>
                </c:pt>
                <c:pt idx="33">
                  <c:v>0.05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E-4156-BB11-726C5F4461D2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lab data-panel sunlight'!$K$245:$K$246</c:f>
              <c:numCache>
                <c:formatCode>0.00</c:formatCode>
                <c:ptCount val="2"/>
                <c:pt idx="0">
                  <c:v>0</c:v>
                </c:pt>
                <c:pt idx="1">
                  <c:v>8.3000000000000007</c:v>
                </c:pt>
              </c:numCache>
            </c:numRef>
          </c:xVal>
          <c:yVal>
            <c:numRef>
              <c:f>'PV lab data-panel sunlight'!$L$245:$L$246</c:f>
              <c:numCache>
                <c:formatCode>0.000</c:formatCode>
                <c:ptCount val="2"/>
                <c:pt idx="0">
                  <c:v>4.0897560975609766</c:v>
                </c:pt>
                <c:pt idx="1">
                  <c:v>4.1100000000000003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3E-4156-BB11-726C5F446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I–V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'PV indoor-panel control '!$C$25:$C$50</c:f>
              <c:numCache>
                <c:formatCode>0.000</c:formatCode>
                <c:ptCount val="26"/>
                <c:pt idx="0">
                  <c:v>1.42</c:v>
                </c:pt>
                <c:pt idx="1">
                  <c:v>2.1</c:v>
                </c:pt>
                <c:pt idx="2">
                  <c:v>2.79</c:v>
                </c:pt>
                <c:pt idx="3">
                  <c:v>3.45</c:v>
                </c:pt>
                <c:pt idx="4">
                  <c:v>4.1399999999999997</c:v>
                </c:pt>
                <c:pt idx="5">
                  <c:v>4.8</c:v>
                </c:pt>
                <c:pt idx="6">
                  <c:v>5.47</c:v>
                </c:pt>
                <c:pt idx="7">
                  <c:v>6.14</c:v>
                </c:pt>
                <c:pt idx="8">
                  <c:v>6.8</c:v>
                </c:pt>
                <c:pt idx="9">
                  <c:v>7.49</c:v>
                </c:pt>
                <c:pt idx="10">
                  <c:v>8.11</c:v>
                </c:pt>
                <c:pt idx="11">
                  <c:v>8.74</c:v>
                </c:pt>
                <c:pt idx="12">
                  <c:v>9.4</c:v>
                </c:pt>
                <c:pt idx="13">
                  <c:v>10.7</c:v>
                </c:pt>
                <c:pt idx="14">
                  <c:v>11.93</c:v>
                </c:pt>
                <c:pt idx="15">
                  <c:v>13.17</c:v>
                </c:pt>
                <c:pt idx="16">
                  <c:v>15.86</c:v>
                </c:pt>
                <c:pt idx="17">
                  <c:v>18.23</c:v>
                </c:pt>
                <c:pt idx="18">
                  <c:v>18.95</c:v>
                </c:pt>
                <c:pt idx="19">
                  <c:v>19.46</c:v>
                </c:pt>
                <c:pt idx="20">
                  <c:v>19.850000000000001</c:v>
                </c:pt>
                <c:pt idx="21">
                  <c:v>20.22</c:v>
                </c:pt>
                <c:pt idx="22">
                  <c:v>20.51</c:v>
                </c:pt>
                <c:pt idx="23">
                  <c:v>20.71</c:v>
                </c:pt>
                <c:pt idx="24">
                  <c:v>20.81</c:v>
                </c:pt>
                <c:pt idx="25">
                  <c:v>20.93</c:v>
                </c:pt>
              </c:numCache>
            </c:numRef>
          </c:xVal>
          <c:yVal>
            <c:numRef>
              <c:f>'PV indoor-panel control '!$D$25:$D$50</c:f>
              <c:numCache>
                <c:formatCode>0.000</c:formatCode>
                <c:ptCount val="26"/>
                <c:pt idx="0">
                  <c:v>0.7</c:v>
                </c:pt>
                <c:pt idx="1">
                  <c:v>0.7</c:v>
                </c:pt>
                <c:pt idx="2">
                  <c:v>0.69</c:v>
                </c:pt>
                <c:pt idx="3">
                  <c:v>0.69</c:v>
                </c:pt>
                <c:pt idx="4">
                  <c:v>0.68</c:v>
                </c:pt>
                <c:pt idx="5">
                  <c:v>0.68</c:v>
                </c:pt>
                <c:pt idx="6">
                  <c:v>0.68</c:v>
                </c:pt>
                <c:pt idx="7">
                  <c:v>0.68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0.65</c:v>
                </c:pt>
                <c:pt idx="18">
                  <c:v>0.56999999999999995</c:v>
                </c:pt>
                <c:pt idx="19">
                  <c:v>0.49</c:v>
                </c:pt>
                <c:pt idx="20">
                  <c:v>0.4</c:v>
                </c:pt>
                <c:pt idx="21">
                  <c:v>0.28999999999999998</c:v>
                </c:pt>
                <c:pt idx="22">
                  <c:v>0.19</c:v>
                </c:pt>
                <c:pt idx="23">
                  <c:v>0.1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C-9849-9A62-EBBB534CFD52}"/>
            </c:ext>
          </c:extLst>
        </c:ser>
        <c:ser>
          <c:idx val="1"/>
          <c:order val="1"/>
          <c:tx>
            <c:v>Extrapolated to Isc (V=0)</c:v>
          </c:tx>
          <c:spPr>
            <a:ln>
              <a:solidFill>
                <a:srgbClr val="C00000"/>
              </a:solidFill>
              <a:prstDash val="lgDash"/>
            </a:ln>
          </c:spPr>
          <c:marker>
            <c:symbol val="circle"/>
            <c:size val="6"/>
          </c:marker>
          <c:xVal>
            <c:numRef>
              <c:f>'PV indoor-panel control '!$K$25:$K$26</c:f>
              <c:numCache>
                <c:formatCode>0.00</c:formatCode>
                <c:ptCount val="2"/>
                <c:pt idx="0">
                  <c:v>0</c:v>
                </c:pt>
                <c:pt idx="1">
                  <c:v>1.42</c:v>
                </c:pt>
              </c:numCache>
            </c:numRef>
          </c:xVal>
          <c:yVal>
            <c:numRef>
              <c:f>'PV indoor-panel control '!$L$25:$L$26</c:f>
              <c:numCache>
                <c:formatCode>0.000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C-9849-9A62-EBBB534CF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9682"/>
        <c:axId val="4576718"/>
      </c:scatterChart>
      <c:valAx>
        <c:axId val="732496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718"/>
        <c:crosses val="autoZero"/>
        <c:crossBetween val="midCat"/>
      </c:valAx>
      <c:valAx>
        <c:axId val="45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96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'!$C$78:$C$103</c:f>
              <c:numCache>
                <c:formatCode>0.000</c:formatCode>
                <c:ptCount val="26"/>
                <c:pt idx="0">
                  <c:v>3.2</c:v>
                </c:pt>
                <c:pt idx="1">
                  <c:v>4.8600000000000003</c:v>
                </c:pt>
                <c:pt idx="2">
                  <c:v>6.44</c:v>
                </c:pt>
                <c:pt idx="3">
                  <c:v>8</c:v>
                </c:pt>
                <c:pt idx="4">
                  <c:v>9.57</c:v>
                </c:pt>
                <c:pt idx="5">
                  <c:v>11.13</c:v>
                </c:pt>
                <c:pt idx="6">
                  <c:v>12.65</c:v>
                </c:pt>
                <c:pt idx="7">
                  <c:v>14.21</c:v>
                </c:pt>
                <c:pt idx="8">
                  <c:v>15.87</c:v>
                </c:pt>
                <c:pt idx="9">
                  <c:v>17.39</c:v>
                </c:pt>
                <c:pt idx="10">
                  <c:v>18</c:v>
                </c:pt>
                <c:pt idx="11">
                  <c:v>18.399999999999999</c:v>
                </c:pt>
                <c:pt idx="12">
                  <c:v>18.690000000000001</c:v>
                </c:pt>
                <c:pt idx="13">
                  <c:v>19.09</c:v>
                </c:pt>
                <c:pt idx="14">
                  <c:v>19.37</c:v>
                </c:pt>
                <c:pt idx="15">
                  <c:v>19.57</c:v>
                </c:pt>
                <c:pt idx="16">
                  <c:v>19.84</c:v>
                </c:pt>
                <c:pt idx="17">
                  <c:v>20.03</c:v>
                </c:pt>
                <c:pt idx="18">
                  <c:v>20.190000000000001</c:v>
                </c:pt>
                <c:pt idx="19">
                  <c:v>20.34</c:v>
                </c:pt>
                <c:pt idx="20">
                  <c:v>20.57</c:v>
                </c:pt>
                <c:pt idx="21">
                  <c:v>20.68</c:v>
                </c:pt>
                <c:pt idx="22">
                  <c:v>20.75</c:v>
                </c:pt>
                <c:pt idx="23">
                  <c:v>20.85</c:v>
                </c:pt>
                <c:pt idx="24">
                  <c:v>20.91</c:v>
                </c:pt>
                <c:pt idx="25">
                  <c:v>20.97</c:v>
                </c:pt>
              </c:numCache>
            </c:numRef>
          </c:xVal>
          <c:yVal>
            <c:numRef>
              <c:f>'PV indoor-panel control '!$D$78:$D$103</c:f>
              <c:numCache>
                <c:formatCode>0.000</c:formatCode>
                <c:ptCount val="26"/>
                <c:pt idx="0">
                  <c:v>1.62</c:v>
                </c:pt>
                <c:pt idx="1">
                  <c:v>1.61</c:v>
                </c:pt>
                <c:pt idx="2">
                  <c:v>1.61</c:v>
                </c:pt>
                <c:pt idx="3">
                  <c:v>1.6</c:v>
                </c:pt>
                <c:pt idx="4">
                  <c:v>1.59</c:v>
                </c:pt>
                <c:pt idx="5">
                  <c:v>1.59</c:v>
                </c:pt>
                <c:pt idx="6">
                  <c:v>1.58</c:v>
                </c:pt>
                <c:pt idx="7">
                  <c:v>1.58</c:v>
                </c:pt>
                <c:pt idx="8">
                  <c:v>1.59</c:v>
                </c:pt>
                <c:pt idx="9">
                  <c:v>1.58</c:v>
                </c:pt>
                <c:pt idx="10">
                  <c:v>1.5</c:v>
                </c:pt>
                <c:pt idx="11">
                  <c:v>1.42</c:v>
                </c:pt>
                <c:pt idx="12">
                  <c:v>1.34</c:v>
                </c:pt>
                <c:pt idx="13">
                  <c:v>1.19</c:v>
                </c:pt>
                <c:pt idx="14">
                  <c:v>1.08</c:v>
                </c:pt>
                <c:pt idx="15">
                  <c:v>0.98</c:v>
                </c:pt>
                <c:pt idx="16">
                  <c:v>0.83</c:v>
                </c:pt>
                <c:pt idx="17">
                  <c:v>0.72</c:v>
                </c:pt>
                <c:pt idx="18">
                  <c:v>0.61</c:v>
                </c:pt>
                <c:pt idx="19">
                  <c:v>0.51</c:v>
                </c:pt>
                <c:pt idx="20">
                  <c:v>0.41</c:v>
                </c:pt>
                <c:pt idx="21">
                  <c:v>0.3</c:v>
                </c:pt>
                <c:pt idx="22">
                  <c:v>0.1</c:v>
                </c:pt>
                <c:pt idx="23">
                  <c:v>0.1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6-4D46-9DBE-1063B170DDA7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'!$K$78:$K$79</c:f>
              <c:numCache>
                <c:formatCode>0.00</c:formatCode>
                <c:ptCount val="2"/>
                <c:pt idx="0">
                  <c:v>0</c:v>
                </c:pt>
                <c:pt idx="1">
                  <c:v>3.2</c:v>
                </c:pt>
              </c:numCache>
            </c:numRef>
          </c:xVal>
          <c:yVal>
            <c:numRef>
              <c:f>'PV indoor-panel control '!$L$78:$L$79</c:f>
              <c:numCache>
                <c:formatCode>0.000</c:formatCode>
                <c:ptCount val="2"/>
                <c:pt idx="0">
                  <c:v>1.639277108433735</c:v>
                </c:pt>
                <c:pt idx="1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6-4D46-9DBE-1063B170D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203829383430829E-2"/>
          <c:y val="0.11776931018637321"/>
          <c:w val="0.87075386481844064"/>
          <c:h val="0.70693961221481572"/>
        </c:manualLayout>
      </c:layout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'!$C$131:$C$156</c:f>
              <c:numCache>
                <c:formatCode>0.000</c:formatCode>
                <c:ptCount val="26"/>
                <c:pt idx="0">
                  <c:v>3.74</c:v>
                </c:pt>
                <c:pt idx="1">
                  <c:v>5.58</c:v>
                </c:pt>
                <c:pt idx="2">
                  <c:v>7.36</c:v>
                </c:pt>
                <c:pt idx="3">
                  <c:v>9.19</c:v>
                </c:pt>
                <c:pt idx="4">
                  <c:v>10.97</c:v>
                </c:pt>
                <c:pt idx="5">
                  <c:v>12.72</c:v>
                </c:pt>
                <c:pt idx="6">
                  <c:v>14.58</c:v>
                </c:pt>
                <c:pt idx="7">
                  <c:v>16.55</c:v>
                </c:pt>
                <c:pt idx="8">
                  <c:v>17.68</c:v>
                </c:pt>
                <c:pt idx="9">
                  <c:v>18.18</c:v>
                </c:pt>
                <c:pt idx="10">
                  <c:v>18.510000000000002</c:v>
                </c:pt>
                <c:pt idx="11">
                  <c:v>18.77</c:v>
                </c:pt>
                <c:pt idx="12">
                  <c:v>18.98</c:v>
                </c:pt>
                <c:pt idx="13">
                  <c:v>19.29</c:v>
                </c:pt>
                <c:pt idx="14">
                  <c:v>19.489999999999998</c:v>
                </c:pt>
                <c:pt idx="15">
                  <c:v>19.649999999999999</c:v>
                </c:pt>
                <c:pt idx="16">
                  <c:v>19.97</c:v>
                </c:pt>
                <c:pt idx="17">
                  <c:v>20.03</c:v>
                </c:pt>
                <c:pt idx="18">
                  <c:v>20.170000000000002</c:v>
                </c:pt>
                <c:pt idx="19">
                  <c:v>20.3</c:v>
                </c:pt>
                <c:pt idx="20">
                  <c:v>20.41</c:v>
                </c:pt>
                <c:pt idx="21">
                  <c:v>20.55</c:v>
                </c:pt>
                <c:pt idx="22">
                  <c:v>20.66</c:v>
                </c:pt>
                <c:pt idx="23">
                  <c:v>20.76</c:v>
                </c:pt>
                <c:pt idx="24">
                  <c:v>20.82</c:v>
                </c:pt>
                <c:pt idx="25">
                  <c:v>20.87</c:v>
                </c:pt>
              </c:numCache>
            </c:numRef>
          </c:xVal>
          <c:yVal>
            <c:numRef>
              <c:f>'PV indoor-panel control '!$D$131:$D$156</c:f>
              <c:numCache>
                <c:formatCode>0.000</c:formatCode>
                <c:ptCount val="26"/>
                <c:pt idx="0">
                  <c:v>1.85</c:v>
                </c:pt>
                <c:pt idx="1">
                  <c:v>1.84</c:v>
                </c:pt>
                <c:pt idx="2">
                  <c:v>1.84</c:v>
                </c:pt>
                <c:pt idx="3">
                  <c:v>1.83</c:v>
                </c:pt>
                <c:pt idx="4">
                  <c:v>1.83</c:v>
                </c:pt>
                <c:pt idx="5">
                  <c:v>1.82</c:v>
                </c:pt>
                <c:pt idx="6">
                  <c:v>1.82</c:v>
                </c:pt>
                <c:pt idx="7">
                  <c:v>1.8</c:v>
                </c:pt>
                <c:pt idx="8">
                  <c:v>1.77</c:v>
                </c:pt>
                <c:pt idx="9">
                  <c:v>1.65</c:v>
                </c:pt>
                <c:pt idx="10">
                  <c:v>1.54</c:v>
                </c:pt>
                <c:pt idx="11">
                  <c:v>1.45</c:v>
                </c:pt>
                <c:pt idx="12">
                  <c:v>1.36</c:v>
                </c:pt>
                <c:pt idx="13">
                  <c:v>1.21</c:v>
                </c:pt>
                <c:pt idx="14">
                  <c:v>1.08</c:v>
                </c:pt>
                <c:pt idx="15">
                  <c:v>0.98</c:v>
                </c:pt>
                <c:pt idx="16">
                  <c:v>0.83</c:v>
                </c:pt>
                <c:pt idx="17">
                  <c:v>0.72</c:v>
                </c:pt>
                <c:pt idx="18">
                  <c:v>0.61</c:v>
                </c:pt>
                <c:pt idx="19">
                  <c:v>0.51</c:v>
                </c:pt>
                <c:pt idx="20">
                  <c:v>0.41</c:v>
                </c:pt>
                <c:pt idx="21">
                  <c:v>0.28999999999999998</c:v>
                </c:pt>
                <c:pt idx="22">
                  <c:v>0.19</c:v>
                </c:pt>
                <c:pt idx="23">
                  <c:v>0.1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0-4A8D-B1D2-DB55422E238D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'!$K$131:$K$132</c:f>
              <c:numCache>
                <c:formatCode>0.00</c:formatCode>
                <c:ptCount val="2"/>
                <c:pt idx="0">
                  <c:v>0</c:v>
                </c:pt>
                <c:pt idx="1">
                  <c:v>3.74</c:v>
                </c:pt>
              </c:numCache>
            </c:numRef>
          </c:xVal>
          <c:yVal>
            <c:numRef>
              <c:f>'PV indoor-panel control '!$L$131:$L$132</c:f>
              <c:numCache>
                <c:formatCode>0.000</c:formatCode>
                <c:ptCount val="2"/>
                <c:pt idx="0">
                  <c:v>1.8703260869565219</c:v>
                </c:pt>
                <c:pt idx="1">
                  <c:v>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F0-4A8D-B1D2-DB55422E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'!$C$184:$C$209</c:f>
              <c:numCache>
                <c:formatCode>0.000</c:formatCode>
                <c:ptCount val="26"/>
                <c:pt idx="0">
                  <c:v>1.44</c:v>
                </c:pt>
                <c:pt idx="1">
                  <c:v>2.14</c:v>
                </c:pt>
                <c:pt idx="2">
                  <c:v>2.82</c:v>
                </c:pt>
                <c:pt idx="3">
                  <c:v>3.51</c:v>
                </c:pt>
                <c:pt idx="4">
                  <c:v>4.2300000000000004</c:v>
                </c:pt>
                <c:pt idx="5">
                  <c:v>4.9000000000000004</c:v>
                </c:pt>
                <c:pt idx="6">
                  <c:v>5.58</c:v>
                </c:pt>
                <c:pt idx="7">
                  <c:v>6.25</c:v>
                </c:pt>
                <c:pt idx="8">
                  <c:v>6.94</c:v>
                </c:pt>
                <c:pt idx="9">
                  <c:v>7.6</c:v>
                </c:pt>
                <c:pt idx="10">
                  <c:v>8.2899999999999991</c:v>
                </c:pt>
                <c:pt idx="11">
                  <c:v>8.92</c:v>
                </c:pt>
                <c:pt idx="12">
                  <c:v>9.58</c:v>
                </c:pt>
                <c:pt idx="13">
                  <c:v>10.9</c:v>
                </c:pt>
                <c:pt idx="14">
                  <c:v>12.2</c:v>
                </c:pt>
                <c:pt idx="15">
                  <c:v>13.46</c:v>
                </c:pt>
                <c:pt idx="16">
                  <c:v>16.239999999999998</c:v>
                </c:pt>
                <c:pt idx="17">
                  <c:v>18.649999999999999</c:v>
                </c:pt>
                <c:pt idx="18">
                  <c:v>19.41</c:v>
                </c:pt>
                <c:pt idx="19">
                  <c:v>19.850000000000001</c:v>
                </c:pt>
                <c:pt idx="20">
                  <c:v>20.350000000000001</c:v>
                </c:pt>
                <c:pt idx="21">
                  <c:v>20.71</c:v>
                </c:pt>
                <c:pt idx="22">
                  <c:v>20.99</c:v>
                </c:pt>
                <c:pt idx="23">
                  <c:v>21.19</c:v>
                </c:pt>
                <c:pt idx="24">
                  <c:v>21.3</c:v>
                </c:pt>
                <c:pt idx="25">
                  <c:v>21.41</c:v>
                </c:pt>
              </c:numCache>
            </c:numRef>
          </c:xVal>
          <c:yVal>
            <c:numRef>
              <c:f>'PV indoor-panel control '!$D$184:$D$209</c:f>
              <c:numCache>
                <c:formatCode>0.000</c:formatCode>
                <c:ptCount val="26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0.69</c:v>
                </c:pt>
                <c:pt idx="12">
                  <c:v>0.69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0.67</c:v>
                </c:pt>
                <c:pt idx="18">
                  <c:v>0.59</c:v>
                </c:pt>
                <c:pt idx="19">
                  <c:v>0.5</c:v>
                </c:pt>
                <c:pt idx="20">
                  <c:v>0.41</c:v>
                </c:pt>
                <c:pt idx="21">
                  <c:v>0.3</c:v>
                </c:pt>
                <c:pt idx="22">
                  <c:v>0.19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0-42F4-A69A-72D094B72A4F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'!$K$184:$K$185</c:f>
              <c:numCache>
                <c:formatCode>0.00</c:formatCode>
                <c:ptCount val="2"/>
                <c:pt idx="0">
                  <c:v>0</c:v>
                </c:pt>
                <c:pt idx="1">
                  <c:v>1.44</c:v>
                </c:pt>
              </c:numCache>
            </c:numRef>
          </c:xVal>
          <c:yVal>
            <c:numRef>
              <c:f>'PV indoor-panel control '!$L$184:$L$185</c:f>
              <c:numCache>
                <c:formatCode>0.000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10-42F4-A69A-72D094B72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'!$C$237:$C$262</c:f>
              <c:numCache>
                <c:formatCode>0.000</c:formatCode>
                <c:ptCount val="26"/>
                <c:pt idx="0">
                  <c:v>2.84</c:v>
                </c:pt>
                <c:pt idx="1">
                  <c:v>4.2300000000000004</c:v>
                </c:pt>
                <c:pt idx="2">
                  <c:v>5.6</c:v>
                </c:pt>
                <c:pt idx="3">
                  <c:v>6.94</c:v>
                </c:pt>
                <c:pt idx="4">
                  <c:v>8.25</c:v>
                </c:pt>
                <c:pt idx="5">
                  <c:v>9.5500000000000007</c:v>
                </c:pt>
                <c:pt idx="6">
                  <c:v>10.91</c:v>
                </c:pt>
                <c:pt idx="7">
                  <c:v>12.26</c:v>
                </c:pt>
                <c:pt idx="8">
                  <c:v>13.61</c:v>
                </c:pt>
                <c:pt idx="9">
                  <c:v>14.19</c:v>
                </c:pt>
                <c:pt idx="10">
                  <c:v>16.45</c:v>
                </c:pt>
                <c:pt idx="11">
                  <c:v>17.96</c:v>
                </c:pt>
                <c:pt idx="12">
                  <c:v>18.57</c:v>
                </c:pt>
                <c:pt idx="13">
                  <c:v>19.18</c:v>
                </c:pt>
                <c:pt idx="14">
                  <c:v>19.559999999999999</c:v>
                </c:pt>
                <c:pt idx="15">
                  <c:v>19.82</c:v>
                </c:pt>
                <c:pt idx="16">
                  <c:v>20.170000000000002</c:v>
                </c:pt>
                <c:pt idx="17">
                  <c:v>20.39</c:v>
                </c:pt>
                <c:pt idx="18">
                  <c:v>20.58</c:v>
                </c:pt>
                <c:pt idx="19">
                  <c:v>20.76</c:v>
                </c:pt>
                <c:pt idx="20">
                  <c:v>20.91</c:v>
                </c:pt>
                <c:pt idx="21">
                  <c:v>21.08</c:v>
                </c:pt>
                <c:pt idx="22">
                  <c:v>21.23</c:v>
                </c:pt>
                <c:pt idx="23">
                  <c:v>21.35</c:v>
                </c:pt>
                <c:pt idx="24">
                  <c:v>21.42</c:v>
                </c:pt>
                <c:pt idx="25">
                  <c:v>21.5</c:v>
                </c:pt>
              </c:numCache>
            </c:numRef>
          </c:xVal>
          <c:yVal>
            <c:numRef>
              <c:f>'PV indoor-panel control '!$D$237:$D$262</c:f>
              <c:numCache>
                <c:formatCode>0.000</c:formatCode>
                <c:ptCount val="26"/>
                <c:pt idx="0">
                  <c:v>1.4</c:v>
                </c:pt>
                <c:pt idx="1">
                  <c:v>1.4</c:v>
                </c:pt>
                <c:pt idx="2">
                  <c:v>1.39</c:v>
                </c:pt>
                <c:pt idx="3">
                  <c:v>1.39</c:v>
                </c:pt>
                <c:pt idx="4">
                  <c:v>1.38</c:v>
                </c:pt>
                <c:pt idx="5">
                  <c:v>1.36</c:v>
                </c:pt>
                <c:pt idx="6">
                  <c:v>1.36</c:v>
                </c:pt>
                <c:pt idx="7">
                  <c:v>1.36</c:v>
                </c:pt>
                <c:pt idx="8">
                  <c:v>1.36</c:v>
                </c:pt>
                <c:pt idx="9">
                  <c:v>1.36</c:v>
                </c:pt>
                <c:pt idx="10">
                  <c:v>1.37</c:v>
                </c:pt>
                <c:pt idx="11">
                  <c:v>1.38</c:v>
                </c:pt>
                <c:pt idx="12">
                  <c:v>1.33</c:v>
                </c:pt>
                <c:pt idx="13">
                  <c:v>1.2</c:v>
                </c:pt>
                <c:pt idx="14">
                  <c:v>1.0900000000000001</c:v>
                </c:pt>
                <c:pt idx="15">
                  <c:v>0.99</c:v>
                </c:pt>
                <c:pt idx="16">
                  <c:v>0.84</c:v>
                </c:pt>
                <c:pt idx="17">
                  <c:v>0.73</c:v>
                </c:pt>
                <c:pt idx="18">
                  <c:v>0.62</c:v>
                </c:pt>
                <c:pt idx="19">
                  <c:v>0.52</c:v>
                </c:pt>
                <c:pt idx="20">
                  <c:v>0.42</c:v>
                </c:pt>
                <c:pt idx="21">
                  <c:v>0.3</c:v>
                </c:pt>
                <c:pt idx="22">
                  <c:v>0.19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0-4D1D-AD5C-3F25C402068F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'!$K$237:$K$238</c:f>
              <c:numCache>
                <c:formatCode>0.00</c:formatCode>
                <c:ptCount val="2"/>
                <c:pt idx="0">
                  <c:v>0</c:v>
                </c:pt>
                <c:pt idx="1">
                  <c:v>2.84</c:v>
                </c:pt>
              </c:numCache>
            </c:numRef>
          </c:xVal>
          <c:yVal>
            <c:numRef>
              <c:f>'PV indoor-panel control '!$L$237:$L$238</c:f>
              <c:numCache>
                <c:formatCode>0.000</c:formatCode>
                <c:ptCount val="2"/>
                <c:pt idx="0">
                  <c:v>1.4</c:v>
                </c:pt>
                <c:pt idx="1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0-4D1D-AD5C-3F25C4020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Calibri"/>
                <a:ea typeface="Calibri"/>
                <a:cs typeface="Calibri"/>
              </a:defRPr>
            </a:pPr>
            <a:r>
              <a:rPr lang="en-ZA"/>
              <a:t>I–V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I-V Curve</c:v>
          </c:tx>
          <c:spPr>
            <a:ln w="28448">
              <a:solidFill>
                <a:srgbClr val="4A7EBB"/>
              </a:solidFill>
              <a:prstDash val="solid"/>
            </a:ln>
          </c:spPr>
          <c:marker>
            <c:symbol val="circle"/>
            <c:size val="5"/>
          </c:marker>
          <c:xVal>
            <c:numRef>
              <c:f>'PV indoor-panel control '!$C$290:$C$315</c:f>
              <c:numCache>
                <c:formatCode>0.000</c:formatCode>
                <c:ptCount val="26"/>
                <c:pt idx="0">
                  <c:v>3.69</c:v>
                </c:pt>
                <c:pt idx="1">
                  <c:v>5.48</c:v>
                </c:pt>
                <c:pt idx="2">
                  <c:v>7.24</c:v>
                </c:pt>
                <c:pt idx="3">
                  <c:v>9.02</c:v>
                </c:pt>
                <c:pt idx="4">
                  <c:v>10.83</c:v>
                </c:pt>
                <c:pt idx="5">
                  <c:v>12.57</c:v>
                </c:pt>
                <c:pt idx="6">
                  <c:v>14.33</c:v>
                </c:pt>
                <c:pt idx="7">
                  <c:v>16.13</c:v>
                </c:pt>
                <c:pt idx="8">
                  <c:v>17.96</c:v>
                </c:pt>
                <c:pt idx="9">
                  <c:v>18.829999999999998</c:v>
                </c:pt>
                <c:pt idx="10">
                  <c:v>19.28</c:v>
                </c:pt>
                <c:pt idx="11">
                  <c:v>19.579999999999998</c:v>
                </c:pt>
                <c:pt idx="12">
                  <c:v>19.82</c:v>
                </c:pt>
                <c:pt idx="13">
                  <c:v>20.18</c:v>
                </c:pt>
                <c:pt idx="14">
                  <c:v>20.420000000000002</c:v>
                </c:pt>
                <c:pt idx="15">
                  <c:v>20.59</c:v>
                </c:pt>
                <c:pt idx="16">
                  <c:v>20.84</c:v>
                </c:pt>
                <c:pt idx="17">
                  <c:v>21.01</c:v>
                </c:pt>
                <c:pt idx="18">
                  <c:v>21.15</c:v>
                </c:pt>
                <c:pt idx="19">
                  <c:v>21.29</c:v>
                </c:pt>
                <c:pt idx="20">
                  <c:v>21.41</c:v>
                </c:pt>
                <c:pt idx="21">
                  <c:v>21.56</c:v>
                </c:pt>
                <c:pt idx="22">
                  <c:v>21.68</c:v>
                </c:pt>
                <c:pt idx="23">
                  <c:v>21.77</c:v>
                </c:pt>
                <c:pt idx="24">
                  <c:v>21.82</c:v>
                </c:pt>
                <c:pt idx="25">
                  <c:v>21.88</c:v>
                </c:pt>
              </c:numCache>
            </c:numRef>
          </c:xVal>
          <c:yVal>
            <c:numRef>
              <c:f>'PV indoor-panel control '!$D$290:$D$315</c:f>
              <c:numCache>
                <c:formatCode>0.000</c:formatCode>
                <c:ptCount val="26"/>
                <c:pt idx="0">
                  <c:v>1.82</c:v>
                </c:pt>
                <c:pt idx="1">
                  <c:v>1.81</c:v>
                </c:pt>
                <c:pt idx="2">
                  <c:v>1.81</c:v>
                </c:pt>
                <c:pt idx="3">
                  <c:v>1.8</c:v>
                </c:pt>
                <c:pt idx="4">
                  <c:v>1.8</c:v>
                </c:pt>
                <c:pt idx="5">
                  <c:v>1.79</c:v>
                </c:pt>
                <c:pt idx="6">
                  <c:v>1.79</c:v>
                </c:pt>
                <c:pt idx="7">
                  <c:v>1.79</c:v>
                </c:pt>
                <c:pt idx="8">
                  <c:v>1.79</c:v>
                </c:pt>
                <c:pt idx="9">
                  <c:v>1.71</c:v>
                </c:pt>
                <c:pt idx="10">
                  <c:v>1.61</c:v>
                </c:pt>
                <c:pt idx="11">
                  <c:v>1.51</c:v>
                </c:pt>
                <c:pt idx="12">
                  <c:v>1.42</c:v>
                </c:pt>
                <c:pt idx="13">
                  <c:v>1.26</c:v>
                </c:pt>
                <c:pt idx="14">
                  <c:v>1.1399999999999999</c:v>
                </c:pt>
                <c:pt idx="15">
                  <c:v>1.03</c:v>
                </c:pt>
                <c:pt idx="16">
                  <c:v>0.87</c:v>
                </c:pt>
                <c:pt idx="17">
                  <c:v>0.75</c:v>
                </c:pt>
                <c:pt idx="18">
                  <c:v>0.68</c:v>
                </c:pt>
                <c:pt idx="19">
                  <c:v>0.57999999999999996</c:v>
                </c:pt>
                <c:pt idx="20">
                  <c:v>0.43</c:v>
                </c:pt>
                <c:pt idx="21">
                  <c:v>0.31</c:v>
                </c:pt>
                <c:pt idx="22">
                  <c:v>0.2</c:v>
                </c:pt>
                <c:pt idx="23">
                  <c:v>0.11</c:v>
                </c:pt>
                <c:pt idx="24">
                  <c:v>0.05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34-437A-A202-5DFE6867047E}"/>
            </c:ext>
          </c:extLst>
        </c:ser>
        <c:ser>
          <c:idx val="1"/>
          <c:order val="1"/>
          <c:tx>
            <c:v>Extrapolated to Isc (V=0)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</c:marker>
          <c:xVal>
            <c:numRef>
              <c:f>'PV indoor-panel control '!$K$290:$K$291</c:f>
              <c:numCache>
                <c:formatCode>0.00</c:formatCode>
                <c:ptCount val="2"/>
                <c:pt idx="0">
                  <c:v>0</c:v>
                </c:pt>
                <c:pt idx="1">
                  <c:v>3.69</c:v>
                </c:pt>
              </c:numCache>
            </c:numRef>
          </c:xVal>
          <c:yVal>
            <c:numRef>
              <c:f>'PV indoor-panel control '!$L$290:$L$291</c:f>
              <c:numCache>
                <c:formatCode>0.000</c:formatCode>
                <c:ptCount val="2"/>
                <c:pt idx="0">
                  <c:v>1.8406145251396648</c:v>
                </c:pt>
                <c:pt idx="1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34-437A-A202-5DFE68670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37360"/>
        <c:axId val="749671632"/>
      </c:scatterChart>
      <c:valAx>
        <c:axId val="1512437360"/>
        <c:scaling>
          <c:orientation val="minMax"/>
          <c:max val="22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Voltage (V)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749671632"/>
        <c:crosses val="autoZero"/>
        <c:crossBetween val="midCat"/>
        <c:majorUnit val="2"/>
      </c:valAx>
      <c:valAx>
        <c:axId val="749671632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Current (A)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1512437360"/>
        <c:crosses val="autoZero"/>
        <c:crossBetween val="midCat"/>
        <c:majorUnit val="0.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22</xdr:row>
      <xdr:rowOff>126720</xdr:rowOff>
    </xdr:from>
    <xdr:ext cx="6188960" cy="34427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A6C3F-4A9F-4010-97A6-D9DCF22A2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0</xdr:colOff>
      <xdr:row>87</xdr:row>
      <xdr:rowOff>0</xdr:rowOff>
    </xdr:from>
    <xdr:to>
      <xdr:col>20</xdr:col>
      <xdr:colOff>70100</xdr:colOff>
      <xdr:row>105</xdr:row>
      <xdr:rowOff>150940</xdr:rowOff>
    </xdr:to>
    <xdr:graphicFrame macro="">
      <xdr:nvGraphicFramePr>
        <xdr:cNvPr id="3" name="IV Chart 1500">
          <a:extLst>
            <a:ext uri="{FF2B5EF4-FFF2-40B4-BE49-F238E27FC236}">
              <a16:creationId xmlns:a16="http://schemas.microsoft.com/office/drawing/2014/main" id="{EC5F1228-5720-487C-9B08-A88CC7D4D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140</xdr:row>
      <xdr:rowOff>0</xdr:rowOff>
    </xdr:from>
    <xdr:to>
      <xdr:col>20</xdr:col>
      <xdr:colOff>70100</xdr:colOff>
      <xdr:row>158</xdr:row>
      <xdr:rowOff>150940</xdr:rowOff>
    </xdr:to>
    <xdr:graphicFrame macro="">
      <xdr:nvGraphicFramePr>
        <xdr:cNvPr id="4" name="IV Chart 1515">
          <a:extLst>
            <a:ext uri="{FF2B5EF4-FFF2-40B4-BE49-F238E27FC236}">
              <a16:creationId xmlns:a16="http://schemas.microsoft.com/office/drawing/2014/main" id="{AD02E5E3-EA57-4362-A1D5-D0AE5BE9F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193</xdr:row>
      <xdr:rowOff>0</xdr:rowOff>
    </xdr:from>
    <xdr:to>
      <xdr:col>20</xdr:col>
      <xdr:colOff>70100</xdr:colOff>
      <xdr:row>211</xdr:row>
      <xdr:rowOff>150940</xdr:rowOff>
    </xdr:to>
    <xdr:graphicFrame macro="">
      <xdr:nvGraphicFramePr>
        <xdr:cNvPr id="5" name="IV Chart 1530">
          <a:extLst>
            <a:ext uri="{FF2B5EF4-FFF2-40B4-BE49-F238E27FC236}">
              <a16:creationId xmlns:a16="http://schemas.microsoft.com/office/drawing/2014/main" id="{397AD43F-02DF-4586-BA89-22D4ACAE1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246</xdr:row>
      <xdr:rowOff>0</xdr:rowOff>
    </xdr:from>
    <xdr:to>
      <xdr:col>20</xdr:col>
      <xdr:colOff>70100</xdr:colOff>
      <xdr:row>264</xdr:row>
      <xdr:rowOff>150940</xdr:rowOff>
    </xdr:to>
    <xdr:graphicFrame macro="">
      <xdr:nvGraphicFramePr>
        <xdr:cNvPr id="6" name="IV Chart 1545">
          <a:extLst>
            <a:ext uri="{FF2B5EF4-FFF2-40B4-BE49-F238E27FC236}">
              <a16:creationId xmlns:a16="http://schemas.microsoft.com/office/drawing/2014/main" id="{566760BB-73EC-4981-A8D0-A726A34CA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299</xdr:row>
      <xdr:rowOff>0</xdr:rowOff>
    </xdr:from>
    <xdr:to>
      <xdr:col>20</xdr:col>
      <xdr:colOff>70100</xdr:colOff>
      <xdr:row>317</xdr:row>
      <xdr:rowOff>150940</xdr:rowOff>
    </xdr:to>
    <xdr:graphicFrame macro="">
      <xdr:nvGraphicFramePr>
        <xdr:cNvPr id="7" name="IV Chart 1600">
          <a:extLst>
            <a:ext uri="{FF2B5EF4-FFF2-40B4-BE49-F238E27FC236}">
              <a16:creationId xmlns:a16="http://schemas.microsoft.com/office/drawing/2014/main" id="{B7155D29-15BA-45A4-8D48-94ECB58AA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126720</xdr:rowOff>
    </xdr:from>
    <xdr:to>
      <xdr:col>18</xdr:col>
      <xdr:colOff>448560</xdr:colOff>
      <xdr:row>39</xdr:row>
      <xdr:rowOff>127800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0</xdr:colOff>
      <xdr:row>77</xdr:row>
      <xdr:rowOff>126720</xdr:rowOff>
    </xdr:from>
    <xdr:ext cx="6188960" cy="34427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F36FD-508E-BC47-9D76-E09664404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134</xdr:row>
      <xdr:rowOff>126720</xdr:rowOff>
    </xdr:from>
    <xdr:ext cx="6188960" cy="34427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A0B15D-7869-6843-930C-97E2BC424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191</xdr:row>
      <xdr:rowOff>126720</xdr:rowOff>
    </xdr:from>
    <xdr:ext cx="6188960" cy="344278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0258DA-52BE-D248-97B1-127832A0A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126720</xdr:rowOff>
    </xdr:from>
    <xdr:to>
      <xdr:col>19</xdr:col>
      <xdr:colOff>128520</xdr:colOff>
      <xdr:row>33</xdr:row>
      <xdr:rowOff>135420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A8052-A0F9-2941-AFE0-7B98933DC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0</xdr:colOff>
      <xdr:row>77</xdr:row>
      <xdr:rowOff>126720</xdr:rowOff>
    </xdr:from>
    <xdr:ext cx="5591673" cy="308253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16BDD8-F72C-4479-AEE6-BB54621C6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132</xdr:row>
      <xdr:rowOff>126720</xdr:rowOff>
    </xdr:from>
    <xdr:ext cx="5591673" cy="308253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8E7AE4-972D-4D7D-8AED-82B5F5D38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187</xdr:row>
      <xdr:rowOff>126720</xdr:rowOff>
    </xdr:from>
    <xdr:ext cx="5591673" cy="308253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B9DEEF-84D4-4E46-B644-F60EBCDD6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258</xdr:row>
      <xdr:rowOff>2</xdr:rowOff>
    </xdr:from>
    <xdr:ext cx="3657600" cy="256032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CA49E6-7D68-4C77-94E7-44188CCE6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22</xdr:row>
      <xdr:rowOff>126720</xdr:rowOff>
    </xdr:from>
    <xdr:ext cx="6188960" cy="34427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E596A-76BB-DD4E-B2C1-BE1BCE3F7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0</xdr:colOff>
      <xdr:row>87</xdr:row>
      <xdr:rowOff>0</xdr:rowOff>
    </xdr:from>
    <xdr:to>
      <xdr:col>20</xdr:col>
      <xdr:colOff>70100</xdr:colOff>
      <xdr:row>105</xdr:row>
      <xdr:rowOff>150940</xdr:rowOff>
    </xdr:to>
    <xdr:graphicFrame macro="">
      <xdr:nvGraphicFramePr>
        <xdr:cNvPr id="3" name="IV Chart 1500">
          <a:extLst>
            <a:ext uri="{FF2B5EF4-FFF2-40B4-BE49-F238E27FC236}">
              <a16:creationId xmlns:a16="http://schemas.microsoft.com/office/drawing/2014/main" id="{40FA0FE3-5B1E-01E7-D03E-E000FCAC5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140</xdr:row>
      <xdr:rowOff>0</xdr:rowOff>
    </xdr:from>
    <xdr:to>
      <xdr:col>20</xdr:col>
      <xdr:colOff>70100</xdr:colOff>
      <xdr:row>158</xdr:row>
      <xdr:rowOff>150940</xdr:rowOff>
    </xdr:to>
    <xdr:graphicFrame macro="">
      <xdr:nvGraphicFramePr>
        <xdr:cNvPr id="134" name="IV Chart 1515">
          <a:extLst>
            <a:ext uri="{FF2B5EF4-FFF2-40B4-BE49-F238E27FC236}">
              <a16:creationId xmlns:a16="http://schemas.microsoft.com/office/drawing/2014/main" id="{CAA08478-EB2F-4450-982F-F10A00841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193</xdr:row>
      <xdr:rowOff>0</xdr:rowOff>
    </xdr:from>
    <xdr:to>
      <xdr:col>20</xdr:col>
      <xdr:colOff>70100</xdr:colOff>
      <xdr:row>211</xdr:row>
      <xdr:rowOff>150940</xdr:rowOff>
    </xdr:to>
    <xdr:graphicFrame macro="">
      <xdr:nvGraphicFramePr>
        <xdr:cNvPr id="5" name="IV Chart 1530">
          <a:extLst>
            <a:ext uri="{FF2B5EF4-FFF2-40B4-BE49-F238E27FC236}">
              <a16:creationId xmlns:a16="http://schemas.microsoft.com/office/drawing/2014/main" id="{484504D8-35EC-455D-962B-C37A3C7D6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246</xdr:row>
      <xdr:rowOff>0</xdr:rowOff>
    </xdr:from>
    <xdr:to>
      <xdr:col>20</xdr:col>
      <xdr:colOff>70100</xdr:colOff>
      <xdr:row>264</xdr:row>
      <xdr:rowOff>150940</xdr:rowOff>
    </xdr:to>
    <xdr:graphicFrame macro="">
      <xdr:nvGraphicFramePr>
        <xdr:cNvPr id="6" name="IV Chart 1545">
          <a:extLst>
            <a:ext uri="{FF2B5EF4-FFF2-40B4-BE49-F238E27FC236}">
              <a16:creationId xmlns:a16="http://schemas.microsoft.com/office/drawing/2014/main" id="{7CA74171-313B-47AE-994A-598A07EC5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299</xdr:row>
      <xdr:rowOff>0</xdr:rowOff>
    </xdr:from>
    <xdr:to>
      <xdr:col>20</xdr:col>
      <xdr:colOff>70100</xdr:colOff>
      <xdr:row>317</xdr:row>
      <xdr:rowOff>150940</xdr:rowOff>
    </xdr:to>
    <xdr:graphicFrame macro="">
      <xdr:nvGraphicFramePr>
        <xdr:cNvPr id="7" name="IV Chart 1600">
          <a:extLst>
            <a:ext uri="{FF2B5EF4-FFF2-40B4-BE49-F238E27FC236}">
              <a16:creationId xmlns:a16="http://schemas.microsoft.com/office/drawing/2014/main" id="{FFF6F8D6-2961-4DB3-B940-6B4ABCC55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3278D0-1825-4F91-A921-765952B599F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b5cfed4-4f5d-4bf2-bab1-02247788afc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A991-3C6C-48AA-A54F-5304474AD4F8}">
  <dimension ref="A3:U318"/>
  <sheetViews>
    <sheetView tabSelected="1" zoomScale="40" zoomScaleNormal="40" workbookViewId="0">
      <selection activeCell="G313" sqref="G313"/>
    </sheetView>
  </sheetViews>
  <sheetFormatPr baseColWidth="10" defaultColWidth="8.6640625" defaultRowHeight="15" x14ac:dyDescent="0.2"/>
  <cols>
    <col min="1" max="1" width="9" bestFit="1" customWidth="1"/>
    <col min="2" max="2" width="10.6640625" bestFit="1" customWidth="1"/>
    <col min="3" max="4" width="9" bestFit="1" customWidth="1"/>
    <col min="5" max="5" width="11.5" bestFit="1" customWidth="1"/>
    <col min="7" max="7" width="9" bestFit="1" customWidth="1"/>
    <col min="8" max="8" width="12.1640625" bestFit="1" customWidth="1"/>
    <col min="9" max="12" width="9" bestFit="1" customWidth="1"/>
    <col min="15" max="15" width="9" bestFit="1" customWidth="1"/>
  </cols>
  <sheetData>
    <row r="3" spans="1:15" ht="90" x14ac:dyDescent="0.2">
      <c r="A3" s="20" t="s">
        <v>0</v>
      </c>
      <c r="B3" s="21">
        <v>46274</v>
      </c>
      <c r="D3" s="20" t="s">
        <v>1</v>
      </c>
      <c r="E3" s="22">
        <v>0.60416666666666663</v>
      </c>
      <c r="H3" s="23" t="s">
        <v>2</v>
      </c>
    </row>
    <row r="5" spans="1:15" x14ac:dyDescent="0.2">
      <c r="A5" s="76" t="s">
        <v>3</v>
      </c>
      <c r="B5" s="76"/>
    </row>
    <row r="6" spans="1:15" ht="48" x14ac:dyDescent="0.2">
      <c r="A6" s="24" t="s">
        <v>4</v>
      </c>
      <c r="B6" s="77">
        <v>60</v>
      </c>
      <c r="C6" s="77"/>
      <c r="D6" s="77"/>
    </row>
    <row r="7" spans="1:15" ht="48" x14ac:dyDescent="0.2">
      <c r="A7" s="24" t="s">
        <v>5</v>
      </c>
      <c r="B7" s="77" t="s">
        <v>6</v>
      </c>
      <c r="C7" s="77"/>
      <c r="D7" s="77"/>
    </row>
    <row r="8" spans="1:15" ht="48" x14ac:dyDescent="0.2">
      <c r="A8" s="24" t="s">
        <v>7</v>
      </c>
      <c r="B8" s="77" t="s">
        <v>8</v>
      </c>
      <c r="C8" s="77"/>
      <c r="D8" s="77"/>
    </row>
    <row r="9" spans="1:15" ht="48" x14ac:dyDescent="0.2">
      <c r="A9" s="24" t="s">
        <v>9</v>
      </c>
      <c r="B9" s="77" t="s">
        <v>10</v>
      </c>
      <c r="C9" s="77"/>
      <c r="D9" s="77"/>
    </row>
    <row r="11" spans="1:15" ht="14.75" customHeight="1" x14ac:dyDescent="0.2">
      <c r="A11" s="76" t="s">
        <v>11</v>
      </c>
      <c r="B11" s="76"/>
      <c r="C11" s="76"/>
      <c r="D11" s="76"/>
      <c r="I11" s="76" t="s">
        <v>12</v>
      </c>
      <c r="J11" s="76"/>
      <c r="K11" s="76"/>
      <c r="L11" s="76"/>
    </row>
    <row r="12" spans="1:15" ht="16" x14ac:dyDescent="0.2">
      <c r="A12" s="25" t="s">
        <v>13</v>
      </c>
      <c r="B12" s="25" t="s">
        <v>14</v>
      </c>
      <c r="C12" s="25" t="s">
        <v>15</v>
      </c>
      <c r="D12" s="25" t="s">
        <v>16</v>
      </c>
      <c r="F12" s="25" t="s">
        <v>17</v>
      </c>
      <c r="G12" s="25" t="s">
        <v>18</v>
      </c>
      <c r="I12" s="25" t="s">
        <v>13</v>
      </c>
      <c r="J12" s="25" t="s">
        <v>14</v>
      </c>
      <c r="K12" s="25" t="s">
        <v>15</v>
      </c>
      <c r="L12" s="25" t="s">
        <v>16</v>
      </c>
      <c r="N12" s="25" t="s">
        <v>17</v>
      </c>
      <c r="O12" s="25" t="s">
        <v>18</v>
      </c>
    </row>
    <row r="13" spans="1:15" ht="16" x14ac:dyDescent="0.2">
      <c r="A13" s="26" t="s">
        <v>19</v>
      </c>
      <c r="B13" s="27">
        <v>43.8</v>
      </c>
      <c r="C13" s="27">
        <v>46.6</v>
      </c>
      <c r="D13" s="27">
        <v>45.6</v>
      </c>
      <c r="F13" s="20" t="s">
        <v>20</v>
      </c>
      <c r="G13" s="28">
        <f>IFERROR(AVERAGE(B13:D15),"-")</f>
        <v>45.577777777777776</v>
      </c>
      <c r="I13" s="26" t="s">
        <v>19</v>
      </c>
      <c r="J13" s="27">
        <v>222</v>
      </c>
      <c r="K13" s="27">
        <v>337</v>
      </c>
      <c r="L13" s="27">
        <v>317.60000000000002</v>
      </c>
      <c r="N13" s="20" t="s">
        <v>20</v>
      </c>
      <c r="O13" s="28">
        <f>IFERROR(AVERAGE(J13:L15),"-")</f>
        <v>317.28888888888883</v>
      </c>
    </row>
    <row r="14" spans="1:15" ht="16" x14ac:dyDescent="0.2">
      <c r="A14" s="26" t="s">
        <v>21</v>
      </c>
      <c r="B14" s="29">
        <v>43.6</v>
      </c>
      <c r="C14" s="29">
        <v>48.6</v>
      </c>
      <c r="D14" s="29">
        <v>47.5</v>
      </c>
      <c r="F14" s="20" t="s">
        <v>22</v>
      </c>
      <c r="G14" s="28">
        <f>IFERROR(MIN(B13:D15),"-")</f>
        <v>42.3</v>
      </c>
      <c r="I14" s="26" t="s">
        <v>21</v>
      </c>
      <c r="J14" s="29">
        <v>309</v>
      </c>
      <c r="K14" s="29">
        <v>373</v>
      </c>
      <c r="L14" s="29">
        <v>352.8</v>
      </c>
      <c r="N14" s="20" t="s">
        <v>22</v>
      </c>
      <c r="O14" s="28">
        <f>IFERROR(MIN(J13:L15),"-")</f>
        <v>222</v>
      </c>
    </row>
    <row r="15" spans="1:15" ht="16" x14ac:dyDescent="0.2">
      <c r="A15" s="26" t="s">
        <v>23</v>
      </c>
      <c r="B15" s="29">
        <v>42.3</v>
      </c>
      <c r="C15" s="29">
        <v>45</v>
      </c>
      <c r="D15" s="29">
        <v>47.2</v>
      </c>
      <c r="F15" s="20" t="s">
        <v>24</v>
      </c>
      <c r="G15" s="28">
        <f>IFERROR(MAX(B13:D15),"-")</f>
        <v>48.6</v>
      </c>
      <c r="I15" s="26" t="s">
        <v>23</v>
      </c>
      <c r="J15" s="29">
        <v>288</v>
      </c>
      <c r="K15" s="29">
        <v>351</v>
      </c>
      <c r="L15" s="29">
        <v>305.2</v>
      </c>
      <c r="N15" s="20" t="s">
        <v>24</v>
      </c>
      <c r="O15" s="28">
        <f>IFERROR(MAX(J13:L15),"-")</f>
        <v>373</v>
      </c>
    </row>
    <row r="16" spans="1:15" x14ac:dyDescent="0.2">
      <c r="F16" s="20" t="s">
        <v>25</v>
      </c>
      <c r="G16" s="28">
        <f>IFERROR(G15-G14,"-")</f>
        <v>6.3000000000000043</v>
      </c>
      <c r="N16" s="20" t="s">
        <v>25</v>
      </c>
      <c r="O16" s="28">
        <f>IFERROR(O15-O14,"-")</f>
        <v>151</v>
      </c>
    </row>
    <row r="17" spans="1:15" x14ac:dyDescent="0.2">
      <c r="F17" s="20" t="s">
        <v>26</v>
      </c>
      <c r="G17" s="28">
        <f>IFERROR(STDEV(B13:D15),"-")</f>
        <v>2.0813323724106274</v>
      </c>
      <c r="N17" s="20" t="s">
        <v>26</v>
      </c>
      <c r="O17" s="28">
        <f>IFERROR(STDEV(J13:L15),"-")</f>
        <v>44.780700207915068</v>
      </c>
    </row>
    <row r="18" spans="1:15" x14ac:dyDescent="0.2">
      <c r="N18" s="20" t="s">
        <v>27</v>
      </c>
      <c r="O18" s="28">
        <f>IFERROR((1-((O15-O14)/(2*O13)))*100,"-")</f>
        <v>76.204650511276085</v>
      </c>
    </row>
    <row r="20" spans="1:15" x14ac:dyDescent="0.2">
      <c r="A20" s="76" t="s">
        <v>28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 ht="16" x14ac:dyDescent="0.2">
      <c r="A21" s="20" t="s">
        <v>29</v>
      </c>
      <c r="B21" s="27">
        <v>38.4</v>
      </c>
      <c r="D21" s="20" t="s">
        <v>30</v>
      </c>
      <c r="E21" s="27">
        <v>24.9</v>
      </c>
      <c r="G21" s="20" t="s">
        <v>31</v>
      </c>
      <c r="H21" s="27" t="s">
        <v>32</v>
      </c>
      <c r="K21" s="20" t="s">
        <v>33</v>
      </c>
      <c r="L21" s="27" t="s">
        <v>34</v>
      </c>
    </row>
    <row r="23" spans="1:15" ht="14.75" customHeight="1" x14ac:dyDescent="0.2">
      <c r="A23" s="76" t="s">
        <v>35</v>
      </c>
      <c r="B23" s="76"/>
      <c r="C23" s="76"/>
      <c r="D23" s="76"/>
      <c r="E23" s="76"/>
      <c r="F23" s="76"/>
      <c r="H23" s="76" t="s">
        <v>36</v>
      </c>
      <c r="I23" s="76"/>
    </row>
    <row r="24" spans="1:15" ht="32" x14ac:dyDescent="0.2">
      <c r="A24" s="25" t="s">
        <v>37</v>
      </c>
      <c r="B24" s="25" t="s">
        <v>38</v>
      </c>
      <c r="C24" s="25" t="s">
        <v>39</v>
      </c>
      <c r="D24" s="25" t="s">
        <v>40</v>
      </c>
      <c r="E24" s="25" t="s">
        <v>41</v>
      </c>
      <c r="F24" s="25" t="s">
        <v>42</v>
      </c>
      <c r="K24" s="17" t="s">
        <v>43</v>
      </c>
      <c r="L24" s="17" t="s">
        <v>44</v>
      </c>
    </row>
    <row r="25" spans="1:15" ht="16" x14ac:dyDescent="0.2">
      <c r="A25" s="30">
        <v>1</v>
      </c>
      <c r="B25" s="27">
        <v>2</v>
      </c>
      <c r="C25" s="31">
        <v>1.42</v>
      </c>
      <c r="D25" s="31">
        <v>0.7</v>
      </c>
      <c r="E25" s="32">
        <f t="shared" ref="E25:E50" si="0">IF(OR(C25="",D25=""),"-",C25*D25)</f>
        <v>0.99399999999999988</v>
      </c>
      <c r="F25" s="28">
        <f t="shared" ref="F25:F50" si="1">IFERROR(C25/D25,"-")</f>
        <v>2.0285714285714285</v>
      </c>
      <c r="H25" s="24" t="s">
        <v>45</v>
      </c>
      <c r="I25" s="32">
        <f>IFERROR(INDEX(C25:C50,MATCH("open",B25:B50,0)),"-")</f>
        <v>20.93</v>
      </c>
      <c r="K25" s="18">
        <f>IF(ISNUMBER(I26),0,NA())</f>
        <v>0</v>
      </c>
      <c r="L25" s="19">
        <f>IF(ISNUMBER(I26),MIN(I26,$L$22),NA())</f>
        <v>0.7</v>
      </c>
    </row>
    <row r="26" spans="1:15" ht="32" x14ac:dyDescent="0.2">
      <c r="A26" s="30">
        <v>2</v>
      </c>
      <c r="B26" s="27">
        <v>3</v>
      </c>
      <c r="C26" s="31">
        <v>2.1</v>
      </c>
      <c r="D26" s="31">
        <v>0.7</v>
      </c>
      <c r="E26" s="32">
        <f t="shared" si="0"/>
        <v>1.47</v>
      </c>
      <c r="F26" s="28">
        <f t="shared" si="1"/>
        <v>3.0000000000000004</v>
      </c>
      <c r="H26" s="24" t="s">
        <v>46</v>
      </c>
      <c r="I26" s="33">
        <f>IFERROR(D25-C25*(D26-D25)/(C26-C25),"-")</f>
        <v>0.7</v>
      </c>
      <c r="K26" s="18">
        <f>IF(ISNUMBER(C25),C25,NA())</f>
        <v>1.42</v>
      </c>
      <c r="L26" s="19">
        <f>IF(ISNUMBER(D25),D25,NA())</f>
        <v>0.7</v>
      </c>
    </row>
    <row r="27" spans="1:15" ht="16" x14ac:dyDescent="0.2">
      <c r="A27" s="30">
        <v>3</v>
      </c>
      <c r="B27" s="27">
        <v>4</v>
      </c>
      <c r="C27" s="31">
        <v>2.79</v>
      </c>
      <c r="D27" s="31">
        <v>0.69</v>
      </c>
      <c r="E27" s="32">
        <f t="shared" si="0"/>
        <v>1.9250999999999998</v>
      </c>
      <c r="F27" s="28">
        <f t="shared" si="1"/>
        <v>4.0434782608695654</v>
      </c>
      <c r="H27" s="24" t="s">
        <v>47</v>
      </c>
      <c r="I27" s="33">
        <f>IFERROR(MAX(E25:E50),"-")</f>
        <v>11.849500000000001</v>
      </c>
      <c r="K27" t="s">
        <v>48</v>
      </c>
      <c r="L27" t="str">
        <f>IF(NOT(ISNUMBER(I26)),"",IF(I26&gt;$L$22,"Yes","No"))</f>
        <v>Yes</v>
      </c>
    </row>
    <row r="28" spans="1:15" ht="16" x14ac:dyDescent="0.2">
      <c r="A28" s="30">
        <v>4</v>
      </c>
      <c r="B28" s="27">
        <v>5</v>
      </c>
      <c r="C28" s="31">
        <v>3.45</v>
      </c>
      <c r="D28" s="31">
        <v>0.69</v>
      </c>
      <c r="E28" s="32">
        <f t="shared" si="0"/>
        <v>2.3805000000000001</v>
      </c>
      <c r="F28" s="28">
        <f t="shared" si="1"/>
        <v>5.0000000000000009</v>
      </c>
      <c r="H28" s="24" t="s">
        <v>49</v>
      </c>
      <c r="I28" s="32">
        <f>IFERROR(INDEX(C25:C50,MATCH(I27,E25:E50,0)),"-")</f>
        <v>18.23</v>
      </c>
    </row>
    <row r="29" spans="1:15" ht="16" x14ac:dyDescent="0.2">
      <c r="A29" s="30">
        <v>5</v>
      </c>
      <c r="B29" s="27">
        <v>6</v>
      </c>
      <c r="C29" s="31">
        <v>4.1399999999999997</v>
      </c>
      <c r="D29" s="31">
        <v>0.68</v>
      </c>
      <c r="E29" s="32">
        <f t="shared" si="0"/>
        <v>2.8151999999999999</v>
      </c>
      <c r="F29" s="28">
        <f t="shared" si="1"/>
        <v>6.0882352941176459</v>
      </c>
      <c r="H29" s="24" t="s">
        <v>50</v>
      </c>
      <c r="I29" s="32">
        <f>IFERROR(INDEX(D25:D50,MATCH(I27,E25:E50,0)),"-")</f>
        <v>0.65</v>
      </c>
    </row>
    <row r="30" spans="1:15" ht="16" x14ac:dyDescent="0.2">
      <c r="A30" s="30">
        <v>6</v>
      </c>
      <c r="B30" s="27">
        <v>7</v>
      </c>
      <c r="C30" s="31">
        <v>4.8</v>
      </c>
      <c r="D30" s="31">
        <v>0.68</v>
      </c>
      <c r="E30" s="32">
        <f t="shared" si="0"/>
        <v>3.2640000000000002</v>
      </c>
      <c r="F30" s="28">
        <f t="shared" si="1"/>
        <v>7.0588235294117636</v>
      </c>
      <c r="H30" s="24" t="s">
        <v>51</v>
      </c>
      <c r="I30" s="14">
        <f>IFERROR(I28/I29,"-")</f>
        <v>28.046153846153846</v>
      </c>
    </row>
    <row r="31" spans="1:15" ht="16" x14ac:dyDescent="0.2">
      <c r="A31" s="30">
        <v>7</v>
      </c>
      <c r="B31" s="27">
        <v>8</v>
      </c>
      <c r="C31" s="31">
        <v>5.47</v>
      </c>
      <c r="D31" s="31">
        <v>0.68</v>
      </c>
      <c r="E31" s="32">
        <f t="shared" si="0"/>
        <v>3.7196000000000002</v>
      </c>
      <c r="F31" s="28">
        <f t="shared" si="1"/>
        <v>8.0441176470588225</v>
      </c>
      <c r="H31" s="24" t="s">
        <v>52</v>
      </c>
      <c r="I31" s="14">
        <f>IFERROR(I27/(I25*I26),"-")</f>
        <v>0.80878438331854496</v>
      </c>
    </row>
    <row r="32" spans="1:15" ht="32" x14ac:dyDescent="0.2">
      <c r="A32" s="30">
        <v>8</v>
      </c>
      <c r="B32" s="27">
        <v>9</v>
      </c>
      <c r="C32" s="31">
        <v>6.14</v>
      </c>
      <c r="D32" s="31">
        <v>0.68</v>
      </c>
      <c r="E32" s="32">
        <f t="shared" si="0"/>
        <v>4.1752000000000002</v>
      </c>
      <c r="F32" s="28">
        <f t="shared" si="1"/>
        <v>9.0294117647058805</v>
      </c>
      <c r="H32" s="24" t="s">
        <v>53</v>
      </c>
      <c r="I32" s="15">
        <f>COUNT(D25:D50)</f>
        <v>26</v>
      </c>
    </row>
    <row r="33" spans="1:6" x14ac:dyDescent="0.2">
      <c r="A33" s="30">
        <v>9</v>
      </c>
      <c r="B33" s="27">
        <v>10</v>
      </c>
      <c r="C33" s="31">
        <v>6.8</v>
      </c>
      <c r="D33" s="31">
        <v>0.68</v>
      </c>
      <c r="E33" s="32">
        <f t="shared" si="0"/>
        <v>4.6240000000000006</v>
      </c>
      <c r="F33" s="28">
        <f t="shared" si="1"/>
        <v>9.9999999999999982</v>
      </c>
    </row>
    <row r="34" spans="1:6" x14ac:dyDescent="0.2">
      <c r="A34" s="30">
        <v>10</v>
      </c>
      <c r="B34" s="27">
        <v>11</v>
      </c>
      <c r="C34" s="31">
        <v>7.49</v>
      </c>
      <c r="D34" s="31">
        <v>0.68</v>
      </c>
      <c r="E34" s="32">
        <f t="shared" si="0"/>
        <v>5.0932000000000004</v>
      </c>
      <c r="F34" s="28">
        <f t="shared" si="1"/>
        <v>11.01470588235294</v>
      </c>
    </row>
    <row r="35" spans="1:6" x14ac:dyDescent="0.2">
      <c r="A35" s="30">
        <v>11</v>
      </c>
      <c r="B35" s="27">
        <v>12</v>
      </c>
      <c r="C35" s="31">
        <v>8.11</v>
      </c>
      <c r="D35" s="31">
        <v>0.68</v>
      </c>
      <c r="E35" s="32">
        <f t="shared" si="0"/>
        <v>5.5148000000000001</v>
      </c>
      <c r="F35" s="28">
        <f t="shared" si="1"/>
        <v>11.926470588235292</v>
      </c>
    </row>
    <row r="36" spans="1:6" x14ac:dyDescent="0.2">
      <c r="A36" s="30">
        <v>12</v>
      </c>
      <c r="B36" s="27">
        <v>13</v>
      </c>
      <c r="C36" s="31">
        <v>8.74</v>
      </c>
      <c r="D36" s="31">
        <v>0.67</v>
      </c>
      <c r="E36" s="32">
        <f t="shared" si="0"/>
        <v>5.8558000000000003</v>
      </c>
      <c r="F36" s="28">
        <f t="shared" si="1"/>
        <v>13.044776119402984</v>
      </c>
    </row>
    <row r="37" spans="1:6" x14ac:dyDescent="0.2">
      <c r="A37" s="30">
        <v>13</v>
      </c>
      <c r="B37" s="27">
        <v>14</v>
      </c>
      <c r="C37" s="31">
        <v>9.4</v>
      </c>
      <c r="D37" s="31">
        <v>0.67</v>
      </c>
      <c r="E37" s="32">
        <f t="shared" si="0"/>
        <v>6.2980000000000009</v>
      </c>
      <c r="F37" s="28">
        <f t="shared" si="1"/>
        <v>14.029850746268657</v>
      </c>
    </row>
    <row r="38" spans="1:6" x14ac:dyDescent="0.2">
      <c r="A38" s="30">
        <v>14</v>
      </c>
      <c r="B38" s="27">
        <v>16</v>
      </c>
      <c r="C38" s="31">
        <v>10.7</v>
      </c>
      <c r="D38" s="31">
        <v>0.67</v>
      </c>
      <c r="E38" s="32">
        <f t="shared" si="0"/>
        <v>7.1689999999999996</v>
      </c>
      <c r="F38" s="28">
        <f t="shared" si="1"/>
        <v>15.970149253731341</v>
      </c>
    </row>
    <row r="39" spans="1:6" x14ac:dyDescent="0.2">
      <c r="A39" s="30">
        <v>15</v>
      </c>
      <c r="B39" s="27">
        <v>18</v>
      </c>
      <c r="C39" s="31">
        <v>11.93</v>
      </c>
      <c r="D39" s="31">
        <v>0.66</v>
      </c>
      <c r="E39" s="32">
        <f t="shared" si="0"/>
        <v>7.8738000000000001</v>
      </c>
      <c r="F39" s="28">
        <f t="shared" si="1"/>
        <v>18.075757575757574</v>
      </c>
    </row>
    <row r="40" spans="1:6" x14ac:dyDescent="0.2">
      <c r="A40" s="30">
        <v>16</v>
      </c>
      <c r="B40" s="27">
        <v>20</v>
      </c>
      <c r="C40" s="31">
        <v>13.17</v>
      </c>
      <c r="D40" s="31">
        <v>0.66</v>
      </c>
      <c r="E40" s="32">
        <f t="shared" si="0"/>
        <v>8.6921999999999997</v>
      </c>
      <c r="F40" s="28">
        <f t="shared" si="1"/>
        <v>19.954545454545453</v>
      </c>
    </row>
    <row r="41" spans="1:6" x14ac:dyDescent="0.2">
      <c r="A41" s="30">
        <v>17</v>
      </c>
      <c r="B41" s="27">
        <v>24</v>
      </c>
      <c r="C41" s="31">
        <v>15.86</v>
      </c>
      <c r="D41" s="31">
        <v>0.66</v>
      </c>
      <c r="E41" s="32">
        <f t="shared" si="0"/>
        <v>10.467600000000001</v>
      </c>
      <c r="F41" s="28">
        <f t="shared" si="1"/>
        <v>24.030303030303028</v>
      </c>
    </row>
    <row r="42" spans="1:6" x14ac:dyDescent="0.2">
      <c r="A42" s="30">
        <v>18</v>
      </c>
      <c r="B42" s="27">
        <v>28</v>
      </c>
      <c r="C42" s="31">
        <v>18.23</v>
      </c>
      <c r="D42" s="31">
        <v>0.65</v>
      </c>
      <c r="E42" s="32">
        <f t="shared" si="0"/>
        <v>11.849500000000001</v>
      </c>
      <c r="F42" s="28">
        <f t="shared" si="1"/>
        <v>28.046153846153846</v>
      </c>
    </row>
    <row r="43" spans="1:6" x14ac:dyDescent="0.2">
      <c r="A43" s="30">
        <v>19</v>
      </c>
      <c r="B43" s="27">
        <v>33</v>
      </c>
      <c r="C43" s="31">
        <v>18.95</v>
      </c>
      <c r="D43" s="31">
        <v>0.56999999999999995</v>
      </c>
      <c r="E43" s="32">
        <f t="shared" si="0"/>
        <v>10.801499999999999</v>
      </c>
      <c r="F43" s="28">
        <f t="shared" si="1"/>
        <v>33.245614035087719</v>
      </c>
    </row>
    <row r="44" spans="1:6" x14ac:dyDescent="0.2">
      <c r="A44" s="30">
        <v>20</v>
      </c>
      <c r="B44" s="27">
        <v>40</v>
      </c>
      <c r="C44" s="31">
        <v>19.46</v>
      </c>
      <c r="D44" s="31">
        <v>0.49</v>
      </c>
      <c r="E44" s="32">
        <f t="shared" si="0"/>
        <v>9.535400000000001</v>
      </c>
      <c r="F44" s="28">
        <f t="shared" si="1"/>
        <v>39.714285714285715</v>
      </c>
    </row>
    <row r="45" spans="1:6" x14ac:dyDescent="0.2">
      <c r="A45" s="30">
        <v>21</v>
      </c>
      <c r="B45" s="27">
        <v>50</v>
      </c>
      <c r="C45" s="31">
        <v>19.850000000000001</v>
      </c>
      <c r="D45" s="31">
        <v>0.4</v>
      </c>
      <c r="E45" s="32">
        <f t="shared" si="0"/>
        <v>7.9400000000000013</v>
      </c>
      <c r="F45" s="28">
        <f t="shared" si="1"/>
        <v>49.625</v>
      </c>
    </row>
    <row r="46" spans="1:6" x14ac:dyDescent="0.2">
      <c r="A46" s="30">
        <v>22</v>
      </c>
      <c r="B46" s="27">
        <v>70</v>
      </c>
      <c r="C46" s="31">
        <v>20.22</v>
      </c>
      <c r="D46" s="31">
        <v>0.28999999999999998</v>
      </c>
      <c r="E46" s="32">
        <f t="shared" si="0"/>
        <v>5.8637999999999995</v>
      </c>
      <c r="F46" s="28">
        <f t="shared" si="1"/>
        <v>69.724137931034477</v>
      </c>
    </row>
    <row r="47" spans="1:6" x14ac:dyDescent="0.2">
      <c r="A47" s="30">
        <v>23</v>
      </c>
      <c r="B47" s="27">
        <v>110</v>
      </c>
      <c r="C47" s="31">
        <v>20.51</v>
      </c>
      <c r="D47" s="31">
        <v>0.19</v>
      </c>
      <c r="E47" s="32">
        <f t="shared" si="0"/>
        <v>3.8969000000000005</v>
      </c>
      <c r="F47" s="28">
        <f t="shared" si="1"/>
        <v>107.94736842105264</v>
      </c>
    </row>
    <row r="48" spans="1:6" x14ac:dyDescent="0.2">
      <c r="A48" s="30">
        <v>24</v>
      </c>
      <c r="B48" s="27">
        <v>200</v>
      </c>
      <c r="C48" s="31">
        <v>20.71</v>
      </c>
      <c r="D48" s="31">
        <v>0.1</v>
      </c>
      <c r="E48" s="32">
        <f t="shared" si="0"/>
        <v>2.0710000000000002</v>
      </c>
      <c r="F48" s="28">
        <f t="shared" si="1"/>
        <v>207.1</v>
      </c>
    </row>
    <row r="49" spans="1:21" x14ac:dyDescent="0.2">
      <c r="A49" s="30">
        <v>25</v>
      </c>
      <c r="B49" s="27">
        <v>400</v>
      </c>
      <c r="C49" s="31">
        <v>20.81</v>
      </c>
      <c r="D49" s="31">
        <v>0.05</v>
      </c>
      <c r="E49" s="32">
        <f t="shared" si="0"/>
        <v>1.0405</v>
      </c>
      <c r="F49" s="28">
        <f t="shared" si="1"/>
        <v>416.19999999999993</v>
      </c>
    </row>
    <row r="50" spans="1:21" ht="16" x14ac:dyDescent="0.2">
      <c r="A50" s="30">
        <v>26</v>
      </c>
      <c r="B50" s="27" t="s">
        <v>54</v>
      </c>
      <c r="C50" s="31">
        <v>20.93</v>
      </c>
      <c r="D50" s="31">
        <v>0</v>
      </c>
      <c r="E50" s="32">
        <f t="shared" si="0"/>
        <v>0</v>
      </c>
      <c r="F50" s="28" t="str">
        <f t="shared" si="1"/>
        <v>-</v>
      </c>
    </row>
    <row r="52" spans="1:21" x14ac:dyDescent="0.2">
      <c r="A52" s="81" t="s">
        <v>55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4" spans="1:2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spans="1:2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spans="1:21" ht="90" x14ac:dyDescent="0.2">
      <c r="A56" s="20" t="s">
        <v>0</v>
      </c>
      <c r="B56" s="74">
        <v>46274</v>
      </c>
      <c r="C56" s="36"/>
      <c r="D56" s="20" t="s">
        <v>1</v>
      </c>
      <c r="E56" s="75">
        <v>0.625</v>
      </c>
      <c r="F56" s="36"/>
      <c r="G56" s="36"/>
      <c r="H56" s="23" t="s">
        <v>2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</row>
    <row r="57" spans="1:2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</row>
    <row r="58" spans="1:21" x14ac:dyDescent="0.2">
      <c r="A58" s="78" t="s">
        <v>3</v>
      </c>
      <c r="B58" s="80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</row>
    <row r="59" spans="1:21" ht="48" x14ac:dyDescent="0.2">
      <c r="A59" s="56" t="s">
        <v>4</v>
      </c>
      <c r="B59" s="82" t="s">
        <v>56</v>
      </c>
      <c r="C59" s="83"/>
      <c r="D59" s="84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</row>
    <row r="60" spans="1:21" ht="48" x14ac:dyDescent="0.2">
      <c r="A60" s="56" t="s">
        <v>5</v>
      </c>
      <c r="B60" s="82" t="s">
        <v>6</v>
      </c>
      <c r="C60" s="83"/>
      <c r="D60" s="84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spans="1:21" ht="48" x14ac:dyDescent="0.2">
      <c r="A61" s="56" t="s">
        <v>7</v>
      </c>
      <c r="B61" s="82" t="s">
        <v>8</v>
      </c>
      <c r="C61" s="83"/>
      <c r="D61" s="84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spans="1:21" ht="48" x14ac:dyDescent="0.2">
      <c r="A62" s="56" t="s">
        <v>9</v>
      </c>
      <c r="B62" s="82" t="s">
        <v>57</v>
      </c>
      <c r="C62" s="83"/>
      <c r="D62" s="84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</row>
    <row r="63" spans="1:2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</row>
    <row r="64" spans="1:21" x14ac:dyDescent="0.2">
      <c r="A64" s="78" t="s">
        <v>11</v>
      </c>
      <c r="B64" s="79"/>
      <c r="C64" s="79"/>
      <c r="D64" s="80"/>
      <c r="E64" s="36"/>
      <c r="F64" s="36"/>
      <c r="G64" s="36"/>
      <c r="H64" s="36"/>
      <c r="I64" s="78" t="s">
        <v>12</v>
      </c>
      <c r="J64" s="79"/>
      <c r="K64" s="79"/>
      <c r="L64" s="80"/>
      <c r="M64" s="36"/>
      <c r="N64" s="36"/>
      <c r="O64" s="36"/>
      <c r="P64" s="36"/>
      <c r="Q64" s="36"/>
      <c r="R64" s="36"/>
      <c r="S64" s="36"/>
      <c r="T64" s="36"/>
      <c r="U64" s="36"/>
    </row>
    <row r="65" spans="1:21" ht="16" x14ac:dyDescent="0.2">
      <c r="A65" s="57" t="s">
        <v>13</v>
      </c>
      <c r="B65" s="58" t="s">
        <v>14</v>
      </c>
      <c r="C65" s="58" t="s">
        <v>15</v>
      </c>
      <c r="D65" s="58" t="s">
        <v>16</v>
      </c>
      <c r="E65" s="36"/>
      <c r="F65" s="25" t="s">
        <v>17</v>
      </c>
      <c r="G65" s="59" t="s">
        <v>18</v>
      </c>
      <c r="H65" s="36"/>
      <c r="I65" s="57" t="s">
        <v>13</v>
      </c>
      <c r="J65" s="58" t="s">
        <v>14</v>
      </c>
      <c r="K65" s="58" t="s">
        <v>15</v>
      </c>
      <c r="L65" s="58" t="s">
        <v>16</v>
      </c>
      <c r="M65" s="36"/>
      <c r="N65" s="25" t="s">
        <v>17</v>
      </c>
      <c r="O65" s="59" t="s">
        <v>18</v>
      </c>
      <c r="P65" s="36"/>
      <c r="Q65" s="36"/>
      <c r="R65" s="36"/>
      <c r="S65" s="36"/>
      <c r="T65" s="36"/>
      <c r="U65" s="36"/>
    </row>
    <row r="66" spans="1:21" ht="16" x14ac:dyDescent="0.2">
      <c r="A66" s="60" t="s">
        <v>19</v>
      </c>
      <c r="B66" s="61">
        <v>56.8</v>
      </c>
      <c r="C66" s="61">
        <v>60.7</v>
      </c>
      <c r="D66" s="61">
        <v>61.1</v>
      </c>
      <c r="E66" s="36"/>
      <c r="F66" s="62" t="s">
        <v>20</v>
      </c>
      <c r="G66" s="63">
        <f>IFERROR(AVERAGE(B66:D68),"-")</f>
        <v>59.63333333333334</v>
      </c>
      <c r="H66" s="36"/>
      <c r="I66" s="60" t="s">
        <v>19</v>
      </c>
      <c r="J66" s="61">
        <v>604.4</v>
      </c>
      <c r="K66" s="61">
        <v>792.2</v>
      </c>
      <c r="L66" s="61">
        <v>712.3</v>
      </c>
      <c r="M66" s="36"/>
      <c r="N66" s="62" t="s">
        <v>20</v>
      </c>
      <c r="O66" s="63">
        <f>IFERROR(AVERAGE(J66:L68),"-")</f>
        <v>716.86666666666645</v>
      </c>
      <c r="P66" s="36"/>
      <c r="Q66" s="36"/>
      <c r="R66" s="36"/>
      <c r="S66" s="36"/>
      <c r="T66" s="36"/>
      <c r="U66" s="36"/>
    </row>
    <row r="67" spans="1:21" ht="16" x14ac:dyDescent="0.2">
      <c r="A67" s="60" t="s">
        <v>21</v>
      </c>
      <c r="B67" s="64">
        <v>58.3</v>
      </c>
      <c r="C67" s="64">
        <v>62.5</v>
      </c>
      <c r="D67" s="64">
        <v>61.6</v>
      </c>
      <c r="E67" s="36"/>
      <c r="F67" s="62" t="s">
        <v>22</v>
      </c>
      <c r="G67" s="63">
        <f>IFERROR(MIN(B66:D68),"-")</f>
        <v>56.8</v>
      </c>
      <c r="H67" s="36"/>
      <c r="I67" s="60" t="s">
        <v>21</v>
      </c>
      <c r="J67" s="64">
        <v>697.5</v>
      </c>
      <c r="K67" s="64">
        <v>813.2</v>
      </c>
      <c r="L67" s="64">
        <v>744.4</v>
      </c>
      <c r="M67" s="36"/>
      <c r="N67" s="62" t="s">
        <v>22</v>
      </c>
      <c r="O67" s="63">
        <f>IFERROR(MIN(J66:L68),"-")</f>
        <v>604.4</v>
      </c>
      <c r="P67" s="36"/>
      <c r="Q67" s="36"/>
      <c r="R67" s="36"/>
      <c r="S67" s="36"/>
      <c r="T67" s="36"/>
      <c r="U67" s="36"/>
    </row>
    <row r="68" spans="1:21" ht="16" x14ac:dyDescent="0.2">
      <c r="A68" s="60" t="s">
        <v>23</v>
      </c>
      <c r="B68" s="64">
        <v>57</v>
      </c>
      <c r="C68" s="64">
        <v>61.3</v>
      </c>
      <c r="D68" s="64">
        <v>57.4</v>
      </c>
      <c r="E68" s="36"/>
      <c r="F68" s="62" t="s">
        <v>24</v>
      </c>
      <c r="G68" s="63">
        <f>IFERROR(MAX(B66:D68),"-")</f>
        <v>62.5</v>
      </c>
      <c r="H68" s="36"/>
      <c r="I68" s="60" t="s">
        <v>23</v>
      </c>
      <c r="J68" s="64">
        <v>659.9</v>
      </c>
      <c r="K68" s="64">
        <v>768.9</v>
      </c>
      <c r="L68" s="64">
        <v>659</v>
      </c>
      <c r="M68" s="36"/>
      <c r="N68" s="62" t="s">
        <v>24</v>
      </c>
      <c r="O68" s="63">
        <f>IFERROR(MAX(J66:L68),"-")</f>
        <v>813.2</v>
      </c>
      <c r="P68" s="36"/>
      <c r="Q68" s="36"/>
      <c r="R68" s="36"/>
      <c r="S68" s="36"/>
      <c r="T68" s="36"/>
      <c r="U68" s="36"/>
    </row>
    <row r="69" spans="1:21" x14ac:dyDescent="0.2">
      <c r="A69" s="36"/>
      <c r="B69" s="36"/>
      <c r="C69" s="36"/>
      <c r="D69" s="36"/>
      <c r="E69" s="36"/>
      <c r="F69" s="62" t="s">
        <v>25</v>
      </c>
      <c r="G69" s="63">
        <f>IFERROR(G68-G67,"-")</f>
        <v>5.7000000000000028</v>
      </c>
      <c r="H69" s="36"/>
      <c r="I69" s="36"/>
      <c r="J69" s="36"/>
      <c r="K69" s="36"/>
      <c r="L69" s="36"/>
      <c r="M69" s="36"/>
      <c r="N69" s="62" t="s">
        <v>25</v>
      </c>
      <c r="O69" s="63">
        <f>IFERROR(O68-O67,"-")</f>
        <v>208.80000000000007</v>
      </c>
      <c r="P69" s="36"/>
      <c r="Q69" s="36"/>
      <c r="R69" s="36"/>
      <c r="S69" s="36"/>
      <c r="T69" s="36"/>
      <c r="U69" s="36"/>
    </row>
    <row r="70" spans="1:21" x14ac:dyDescent="0.2">
      <c r="A70" s="36"/>
      <c r="B70" s="36"/>
      <c r="C70" s="36"/>
      <c r="D70" s="36"/>
      <c r="E70" s="36"/>
      <c r="F70" s="62" t="s">
        <v>26</v>
      </c>
      <c r="G70" s="63">
        <f>IFERROR(STDEV(B66:D68),"-")</f>
        <v>2.2327113561766114</v>
      </c>
      <c r="H70" s="36"/>
      <c r="I70" s="36"/>
      <c r="J70" s="36"/>
      <c r="K70" s="36"/>
      <c r="L70" s="36"/>
      <c r="M70" s="36"/>
      <c r="N70" s="62" t="s">
        <v>26</v>
      </c>
      <c r="O70" s="63">
        <f>IFERROR(STDEV(J66:L68),"-")</f>
        <v>68.97390811024124</v>
      </c>
      <c r="P70" s="36"/>
      <c r="Q70" s="36"/>
      <c r="R70" s="36"/>
      <c r="S70" s="36"/>
      <c r="T70" s="36"/>
      <c r="U70" s="36"/>
    </row>
    <row r="71" spans="1:2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62" t="s">
        <v>27</v>
      </c>
      <c r="O71" s="63">
        <f>IFERROR((1-((O68-O67)/(2*O66)))*100,"-")</f>
        <v>85.436622337952201</v>
      </c>
      <c r="P71" s="36"/>
      <c r="Q71" s="36"/>
      <c r="R71" s="36"/>
      <c r="S71" s="36"/>
      <c r="T71" s="36"/>
      <c r="U71" s="36"/>
    </row>
    <row r="72" spans="1:2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x14ac:dyDescent="0.2">
      <c r="A73" s="78" t="s">
        <v>28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80"/>
      <c r="P73" s="36"/>
      <c r="Q73" s="36"/>
      <c r="R73" s="36"/>
      <c r="S73" s="36"/>
      <c r="T73" s="36"/>
      <c r="U73" s="36"/>
    </row>
    <row r="74" spans="1:21" x14ac:dyDescent="0.2">
      <c r="A74" s="62" t="s">
        <v>29</v>
      </c>
      <c r="B74" s="61">
        <v>38.4</v>
      </c>
      <c r="C74" s="36"/>
      <c r="D74" s="62" t="s">
        <v>30</v>
      </c>
      <c r="E74" s="61">
        <v>24.9</v>
      </c>
      <c r="F74" s="36"/>
      <c r="G74" s="62" t="s">
        <v>31</v>
      </c>
      <c r="H74" s="61">
        <v>0.67708333333333337</v>
      </c>
      <c r="I74" s="36"/>
      <c r="J74" s="36"/>
      <c r="K74" s="62" t="s">
        <v>33</v>
      </c>
      <c r="L74" s="61">
        <v>0.6875</v>
      </c>
      <c r="M74" s="36"/>
      <c r="N74" s="36"/>
      <c r="O74" s="36"/>
      <c r="P74" s="36"/>
      <c r="Q74" s="36"/>
      <c r="R74" s="36"/>
      <c r="S74" s="36"/>
      <c r="T74" s="36"/>
      <c r="U74" s="36"/>
    </row>
    <row r="75" spans="1:2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x14ac:dyDescent="0.2">
      <c r="A76" s="78" t="s">
        <v>35</v>
      </c>
      <c r="B76" s="79"/>
      <c r="C76" s="79"/>
      <c r="D76" s="79"/>
      <c r="E76" s="79"/>
      <c r="F76" s="80"/>
      <c r="G76" s="36"/>
      <c r="H76" s="78" t="s">
        <v>36</v>
      </c>
      <c r="I76" s="8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32" x14ac:dyDescent="0.2">
      <c r="A77" s="57" t="s">
        <v>37</v>
      </c>
      <c r="B77" s="58" t="s">
        <v>38</v>
      </c>
      <c r="C77" s="58" t="s">
        <v>39</v>
      </c>
      <c r="D77" s="58" t="s">
        <v>40</v>
      </c>
      <c r="E77" s="58" t="s">
        <v>41</v>
      </c>
      <c r="F77" s="58" t="s">
        <v>42</v>
      </c>
      <c r="G77" s="36"/>
      <c r="H77" s="36"/>
      <c r="I77" s="36"/>
      <c r="J77" s="36"/>
      <c r="K77" s="49" t="s">
        <v>43</v>
      </c>
      <c r="L77" s="49" t="s">
        <v>44</v>
      </c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6" x14ac:dyDescent="0.2">
      <c r="A78" s="65">
        <v>1</v>
      </c>
      <c r="B78" s="61">
        <v>2</v>
      </c>
      <c r="C78" s="66">
        <v>3.2</v>
      </c>
      <c r="D78" s="66">
        <v>1.62</v>
      </c>
      <c r="E78" s="67">
        <f t="shared" ref="E78:E103" si="2">IF(OR(C78="",D78=""),"-",C78*D78)</f>
        <v>5.1840000000000011</v>
      </c>
      <c r="F78" s="63">
        <f t="shared" ref="F78:F103" si="3">IFERROR(C78/D78,"-")</f>
        <v>1.9753086419753085</v>
      </c>
      <c r="G78" s="36"/>
      <c r="H78" s="24" t="s">
        <v>45</v>
      </c>
      <c r="I78" s="68">
        <f>IFERROR(INDEX(C78:C103,MATCH("open",B78:B103,0)),"-")</f>
        <v>20.97</v>
      </c>
      <c r="J78" s="36"/>
      <c r="K78" s="69">
        <f>IF(ISNUMBER(I79),0,NA())</f>
        <v>0</v>
      </c>
      <c r="L78" s="70">
        <f>IF(ISNUMBER(I79),MIN(I79,$L$22),NA())</f>
        <v>1.639277108433735</v>
      </c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32" x14ac:dyDescent="0.2">
      <c r="A79" s="65">
        <v>2</v>
      </c>
      <c r="B79" s="61">
        <v>3</v>
      </c>
      <c r="C79" s="66">
        <v>4.8600000000000003</v>
      </c>
      <c r="D79" s="66">
        <v>1.61</v>
      </c>
      <c r="E79" s="67">
        <f t="shared" si="2"/>
        <v>7.8246000000000011</v>
      </c>
      <c r="F79" s="63">
        <f t="shared" si="3"/>
        <v>3.018633540372671</v>
      </c>
      <c r="G79" s="36"/>
      <c r="H79" s="56" t="s">
        <v>46</v>
      </c>
      <c r="I79" s="71">
        <f>IFERROR(D78-C78*(D79-D78)/(C79-C78),"-")</f>
        <v>1.639277108433735</v>
      </c>
      <c r="J79" s="36"/>
      <c r="K79" s="69">
        <f>IF(ISNUMBER(C78),C78,NA())</f>
        <v>3.2</v>
      </c>
      <c r="L79" s="70">
        <f>IF(ISNUMBER(D78),D78,NA())</f>
        <v>1.62</v>
      </c>
      <c r="M79" s="36"/>
      <c r="N79" s="36"/>
      <c r="O79" s="36"/>
      <c r="P79" s="36"/>
      <c r="Q79" s="36"/>
      <c r="R79" s="36"/>
      <c r="S79" s="36"/>
      <c r="T79" s="36"/>
      <c r="U79" s="36"/>
    </row>
    <row r="80" spans="1:21" ht="16" x14ac:dyDescent="0.2">
      <c r="A80" s="65">
        <v>3</v>
      </c>
      <c r="B80" s="61">
        <v>4</v>
      </c>
      <c r="C80" s="66">
        <v>6.44</v>
      </c>
      <c r="D80" s="66">
        <v>1.61</v>
      </c>
      <c r="E80" s="67">
        <f t="shared" si="2"/>
        <v>10.368400000000001</v>
      </c>
      <c r="F80" s="63">
        <f t="shared" si="3"/>
        <v>4</v>
      </c>
      <c r="G80" s="36"/>
      <c r="H80" s="56" t="s">
        <v>47</v>
      </c>
      <c r="I80" s="71">
        <f>IFERROR(MAX(E78:E103),"-")</f>
        <v>27.476200000000002</v>
      </c>
      <c r="J80" s="36"/>
      <c r="K80" s="36" t="s">
        <v>48</v>
      </c>
      <c r="L80" s="36" t="str">
        <f>IF(NOT(ISNUMBER(I79)),"",IF(I79&gt;$L$22,"Yes","No"))</f>
        <v>Yes</v>
      </c>
      <c r="M80" s="36"/>
      <c r="N80" s="36"/>
      <c r="O80" s="36"/>
      <c r="P80" s="36"/>
      <c r="Q80" s="36"/>
      <c r="R80" s="36"/>
      <c r="S80" s="36"/>
      <c r="T80" s="36"/>
      <c r="U80" s="36"/>
    </row>
    <row r="81" spans="1:21" ht="16" x14ac:dyDescent="0.2">
      <c r="A81" s="65">
        <v>4</v>
      </c>
      <c r="B81" s="61">
        <v>5</v>
      </c>
      <c r="C81" s="66">
        <v>8</v>
      </c>
      <c r="D81" s="66">
        <v>1.6</v>
      </c>
      <c r="E81" s="67">
        <f t="shared" si="2"/>
        <v>12.8</v>
      </c>
      <c r="F81" s="63">
        <f t="shared" si="3"/>
        <v>5</v>
      </c>
      <c r="G81" s="36"/>
      <c r="H81" s="56" t="s">
        <v>49</v>
      </c>
      <c r="I81" s="67">
        <f>IFERROR(INDEX(C78:C103,MATCH(I80,E78:E103,0)),"-")</f>
        <v>17.39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6" x14ac:dyDescent="0.2">
      <c r="A82" s="65">
        <v>5</v>
      </c>
      <c r="B82" s="61">
        <v>6</v>
      </c>
      <c r="C82" s="66">
        <v>9.57</v>
      </c>
      <c r="D82" s="66">
        <v>1.59</v>
      </c>
      <c r="E82" s="67">
        <f t="shared" si="2"/>
        <v>15.2163</v>
      </c>
      <c r="F82" s="63">
        <f t="shared" si="3"/>
        <v>6.0188679245283021</v>
      </c>
      <c r="G82" s="36"/>
      <c r="H82" s="56" t="s">
        <v>50</v>
      </c>
      <c r="I82" s="67">
        <f>IFERROR(INDEX(D78:D103,MATCH(I80,E78:E103,0)),"-")</f>
        <v>1.58</v>
      </c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6" x14ac:dyDescent="0.2">
      <c r="A83" s="65">
        <v>6</v>
      </c>
      <c r="B83" s="61">
        <v>7</v>
      </c>
      <c r="C83" s="66">
        <v>11.13</v>
      </c>
      <c r="D83" s="66">
        <v>1.59</v>
      </c>
      <c r="E83" s="67">
        <f t="shared" si="2"/>
        <v>17.696700000000003</v>
      </c>
      <c r="F83" s="63">
        <f t="shared" si="3"/>
        <v>7</v>
      </c>
      <c r="G83" s="36"/>
      <c r="H83" s="56" t="s">
        <v>51</v>
      </c>
      <c r="I83" s="72">
        <f>IFERROR(I81/I82,"-")</f>
        <v>11.00632911392405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6" x14ac:dyDescent="0.2">
      <c r="A84" s="65">
        <v>7</v>
      </c>
      <c r="B84" s="61">
        <v>8</v>
      </c>
      <c r="C84" s="66">
        <v>12.65</v>
      </c>
      <c r="D84" s="66">
        <v>1.58</v>
      </c>
      <c r="E84" s="67">
        <f t="shared" si="2"/>
        <v>19.987000000000002</v>
      </c>
      <c r="F84" s="63">
        <f t="shared" si="3"/>
        <v>8.0063291139240498</v>
      </c>
      <c r="G84" s="36"/>
      <c r="H84" s="56" t="s">
        <v>52</v>
      </c>
      <c r="I84" s="72">
        <f>IFERROR(I80/(I78*I79),"-")</f>
        <v>0.79929273257450251</v>
      </c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32" x14ac:dyDescent="0.2">
      <c r="A85" s="65">
        <v>8</v>
      </c>
      <c r="B85" s="61">
        <v>9</v>
      </c>
      <c r="C85" s="66">
        <v>14.21</v>
      </c>
      <c r="D85" s="66">
        <v>1.58</v>
      </c>
      <c r="E85" s="67">
        <f t="shared" si="2"/>
        <v>22.451800000000002</v>
      </c>
      <c r="F85" s="63">
        <f t="shared" si="3"/>
        <v>8.9936708860759502</v>
      </c>
      <c r="G85" s="36"/>
      <c r="H85" s="56" t="s">
        <v>53</v>
      </c>
      <c r="I85" s="73">
        <f>COUNT(D78:D103)</f>
        <v>26</v>
      </c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 x14ac:dyDescent="0.2">
      <c r="A86" s="65">
        <v>9</v>
      </c>
      <c r="B86" s="61">
        <v>10</v>
      </c>
      <c r="C86" s="66">
        <v>15.87</v>
      </c>
      <c r="D86" s="66">
        <v>1.59</v>
      </c>
      <c r="E86" s="67">
        <f t="shared" si="2"/>
        <v>25.2333</v>
      </c>
      <c r="F86" s="63">
        <f t="shared" si="3"/>
        <v>9.981132075471697</v>
      </c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x14ac:dyDescent="0.2">
      <c r="A87" s="65">
        <v>10</v>
      </c>
      <c r="B87" s="61">
        <v>11</v>
      </c>
      <c r="C87" s="66">
        <v>17.39</v>
      </c>
      <c r="D87" s="66">
        <v>1.58</v>
      </c>
      <c r="E87" s="67">
        <f t="shared" si="2"/>
        <v>27.476200000000002</v>
      </c>
      <c r="F87" s="63">
        <f t="shared" si="3"/>
        <v>11.00632911392405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x14ac:dyDescent="0.2">
      <c r="A88" s="65">
        <v>11</v>
      </c>
      <c r="B88" s="61">
        <v>12</v>
      </c>
      <c r="C88" s="66">
        <v>18</v>
      </c>
      <c r="D88" s="66">
        <v>1.5</v>
      </c>
      <c r="E88" s="67">
        <f t="shared" si="2"/>
        <v>27</v>
      </c>
      <c r="F88" s="63">
        <f t="shared" si="3"/>
        <v>12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x14ac:dyDescent="0.2">
      <c r="A89" s="65">
        <v>12</v>
      </c>
      <c r="B89" s="61">
        <v>13</v>
      </c>
      <c r="C89" s="66">
        <v>18.399999999999999</v>
      </c>
      <c r="D89" s="66">
        <v>1.42</v>
      </c>
      <c r="E89" s="67">
        <f t="shared" si="2"/>
        <v>26.127999999999997</v>
      </c>
      <c r="F89" s="63">
        <f t="shared" si="3"/>
        <v>12.95774647887324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x14ac:dyDescent="0.2">
      <c r="A90" s="65">
        <v>13</v>
      </c>
      <c r="B90" s="61">
        <v>14</v>
      </c>
      <c r="C90" s="66">
        <v>18.690000000000001</v>
      </c>
      <c r="D90" s="66">
        <v>1.34</v>
      </c>
      <c r="E90" s="67">
        <f t="shared" si="2"/>
        <v>25.044600000000003</v>
      </c>
      <c r="F90" s="63">
        <f t="shared" si="3"/>
        <v>13.947761194029852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 x14ac:dyDescent="0.2">
      <c r="A91" s="65">
        <v>14</v>
      </c>
      <c r="B91" s="61">
        <v>16</v>
      </c>
      <c r="C91" s="66">
        <v>19.09</v>
      </c>
      <c r="D91" s="66">
        <v>1.19</v>
      </c>
      <c r="E91" s="67">
        <f t="shared" si="2"/>
        <v>22.717099999999999</v>
      </c>
      <c r="F91" s="63">
        <f t="shared" si="3"/>
        <v>16.042016806722689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x14ac:dyDescent="0.2">
      <c r="A92" s="65">
        <v>15</v>
      </c>
      <c r="B92" s="61">
        <v>18</v>
      </c>
      <c r="C92" s="66">
        <v>19.37</v>
      </c>
      <c r="D92" s="66">
        <v>1.08</v>
      </c>
      <c r="E92" s="67">
        <f t="shared" si="2"/>
        <v>20.919600000000003</v>
      </c>
      <c r="F92" s="63">
        <f t="shared" si="3"/>
        <v>17.935185185185183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x14ac:dyDescent="0.2">
      <c r="A93" s="65">
        <v>16</v>
      </c>
      <c r="B93" s="61">
        <v>20</v>
      </c>
      <c r="C93" s="66">
        <v>19.57</v>
      </c>
      <c r="D93" s="66">
        <v>0.98</v>
      </c>
      <c r="E93" s="67">
        <f t="shared" si="2"/>
        <v>19.178599999999999</v>
      </c>
      <c r="F93" s="63">
        <f t="shared" si="3"/>
        <v>19.969387755102041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x14ac:dyDescent="0.2">
      <c r="A94" s="65">
        <v>17</v>
      </c>
      <c r="B94" s="61">
        <v>24</v>
      </c>
      <c r="C94" s="66">
        <v>19.84</v>
      </c>
      <c r="D94" s="66">
        <v>0.83</v>
      </c>
      <c r="E94" s="67">
        <f t="shared" si="2"/>
        <v>16.467199999999998</v>
      </c>
      <c r="F94" s="63">
        <f t="shared" si="3"/>
        <v>23.903614457831328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 x14ac:dyDescent="0.2">
      <c r="A95" s="65">
        <v>18</v>
      </c>
      <c r="B95" s="61">
        <v>28</v>
      </c>
      <c r="C95" s="66">
        <v>20.03</v>
      </c>
      <c r="D95" s="66">
        <v>0.72</v>
      </c>
      <c r="E95" s="67">
        <f t="shared" si="2"/>
        <v>14.4216</v>
      </c>
      <c r="F95" s="63">
        <f t="shared" si="3"/>
        <v>27.819444444444446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 x14ac:dyDescent="0.2">
      <c r="A96" s="65">
        <v>19</v>
      </c>
      <c r="B96" s="61">
        <v>33</v>
      </c>
      <c r="C96" s="66">
        <v>20.190000000000001</v>
      </c>
      <c r="D96" s="66">
        <v>0.61</v>
      </c>
      <c r="E96" s="67">
        <f t="shared" si="2"/>
        <v>12.315900000000001</v>
      </c>
      <c r="F96" s="63">
        <f t="shared" si="3"/>
        <v>33.098360655737707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 x14ac:dyDescent="0.2">
      <c r="A97" s="65">
        <v>20</v>
      </c>
      <c r="B97" s="61">
        <v>40</v>
      </c>
      <c r="C97" s="66">
        <v>20.34</v>
      </c>
      <c r="D97" s="66">
        <v>0.51</v>
      </c>
      <c r="E97" s="67">
        <f t="shared" si="2"/>
        <v>10.3734</v>
      </c>
      <c r="F97" s="63">
        <f t="shared" si="3"/>
        <v>39.882352941176471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 x14ac:dyDescent="0.2">
      <c r="A98" s="65">
        <v>21</v>
      </c>
      <c r="B98" s="61">
        <v>50</v>
      </c>
      <c r="C98" s="66">
        <v>20.57</v>
      </c>
      <c r="D98" s="66">
        <v>0.41</v>
      </c>
      <c r="E98" s="67">
        <f t="shared" si="2"/>
        <v>8.4337</v>
      </c>
      <c r="F98" s="63">
        <f t="shared" si="3"/>
        <v>50.170731707317074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 x14ac:dyDescent="0.2">
      <c r="A99" s="65">
        <v>22</v>
      </c>
      <c r="B99" s="61">
        <v>70</v>
      </c>
      <c r="C99" s="66">
        <v>20.68</v>
      </c>
      <c r="D99" s="66">
        <v>0.3</v>
      </c>
      <c r="E99" s="67">
        <f t="shared" si="2"/>
        <v>6.2039999999999997</v>
      </c>
      <c r="F99" s="63">
        <f t="shared" si="3"/>
        <v>68.933333333333337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 x14ac:dyDescent="0.2">
      <c r="A100" s="65">
        <v>23</v>
      </c>
      <c r="B100" s="61">
        <v>110</v>
      </c>
      <c r="C100" s="66">
        <v>20.75</v>
      </c>
      <c r="D100" s="66">
        <v>0.1</v>
      </c>
      <c r="E100" s="67">
        <f t="shared" si="2"/>
        <v>2.0750000000000002</v>
      </c>
      <c r="F100" s="63">
        <f t="shared" si="3"/>
        <v>207.5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 x14ac:dyDescent="0.2">
      <c r="A101" s="65">
        <v>24</v>
      </c>
      <c r="B101" s="61">
        <v>200</v>
      </c>
      <c r="C101" s="66">
        <v>20.85</v>
      </c>
      <c r="D101" s="66">
        <v>0.1</v>
      </c>
      <c r="E101" s="67">
        <f t="shared" si="2"/>
        <v>2.0850000000000004</v>
      </c>
      <c r="F101" s="63">
        <f t="shared" si="3"/>
        <v>208.5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 x14ac:dyDescent="0.2">
      <c r="A102" s="65">
        <v>25</v>
      </c>
      <c r="B102" s="61">
        <v>400</v>
      </c>
      <c r="C102" s="66">
        <v>20.91</v>
      </c>
      <c r="D102" s="66">
        <v>0.05</v>
      </c>
      <c r="E102" s="67">
        <f t="shared" si="2"/>
        <v>1.0455000000000001</v>
      </c>
      <c r="F102" s="63">
        <f t="shared" si="3"/>
        <v>418.2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 ht="16" x14ac:dyDescent="0.2">
      <c r="A103" s="65">
        <v>26</v>
      </c>
      <c r="B103" s="61" t="s">
        <v>54</v>
      </c>
      <c r="C103" s="66">
        <v>20.97</v>
      </c>
      <c r="D103" s="66">
        <v>0</v>
      </c>
      <c r="E103" s="67">
        <f t="shared" si="2"/>
        <v>0</v>
      </c>
      <c r="F103" s="63" t="str">
        <f t="shared" si="3"/>
        <v>-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 x14ac:dyDescent="0.2">
      <c r="A105" s="81" t="s">
        <v>55</v>
      </c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36"/>
      <c r="Q105" s="36"/>
      <c r="R105" s="36"/>
      <c r="S105" s="36"/>
      <c r="T105" s="36"/>
      <c r="U105" s="36"/>
    </row>
    <row r="106" spans="1:2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</row>
    <row r="107" spans="1:21" ht="14.7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</row>
    <row r="108" spans="1:21" ht="14.7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</row>
    <row r="109" spans="1:21" ht="83" customHeight="1" x14ac:dyDescent="0.2">
      <c r="A109" s="20" t="s">
        <v>0</v>
      </c>
      <c r="B109" s="74">
        <v>46274</v>
      </c>
      <c r="C109" s="36"/>
      <c r="D109" s="20" t="s">
        <v>1</v>
      </c>
      <c r="E109" s="75">
        <v>0.63541666666666674</v>
      </c>
      <c r="F109" s="36"/>
      <c r="G109" s="36"/>
      <c r="H109" s="23" t="s">
        <v>2</v>
      </c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</row>
    <row r="110" spans="1:21" ht="14.7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spans="1:21" ht="14.75" customHeight="1" x14ac:dyDescent="0.2">
      <c r="A111" s="78" t="s">
        <v>3</v>
      </c>
      <c r="B111" s="80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spans="1:21" ht="43.25" customHeight="1" x14ac:dyDescent="0.2">
      <c r="A112" s="56" t="s">
        <v>4</v>
      </c>
      <c r="B112" s="82" t="s">
        <v>56</v>
      </c>
      <c r="C112" s="83"/>
      <c r="D112" s="84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spans="1:21" ht="43.25" customHeight="1" x14ac:dyDescent="0.2">
      <c r="A113" s="56" t="s">
        <v>5</v>
      </c>
      <c r="B113" s="82" t="s">
        <v>6</v>
      </c>
      <c r="C113" s="83"/>
      <c r="D113" s="84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</row>
    <row r="114" spans="1:21" ht="43.25" customHeight="1" x14ac:dyDescent="0.2">
      <c r="A114" s="56" t="s">
        <v>7</v>
      </c>
      <c r="B114" s="82" t="s">
        <v>8</v>
      </c>
      <c r="C114" s="83"/>
      <c r="D114" s="84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</row>
    <row r="115" spans="1:21" ht="43.25" customHeight="1" x14ac:dyDescent="0.2">
      <c r="A115" s="56" t="s">
        <v>9</v>
      </c>
      <c r="B115" s="82" t="s">
        <v>58</v>
      </c>
      <c r="C115" s="83"/>
      <c r="D115" s="84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</row>
    <row r="116" spans="1:21" ht="14.7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  <row r="117" spans="1:21" ht="14.75" customHeight="1" x14ac:dyDescent="0.2">
      <c r="A117" s="78" t="s">
        <v>11</v>
      </c>
      <c r="B117" s="79"/>
      <c r="C117" s="79"/>
      <c r="D117" s="80"/>
      <c r="E117" s="36"/>
      <c r="F117" s="36"/>
      <c r="G117" s="36"/>
      <c r="H117" s="36"/>
      <c r="I117" s="78" t="s">
        <v>12</v>
      </c>
      <c r="J117" s="79"/>
      <c r="K117" s="79"/>
      <c r="L117" s="80"/>
      <c r="M117" s="36"/>
      <c r="N117" s="36"/>
      <c r="O117" s="36"/>
      <c r="P117" s="36"/>
      <c r="Q117" s="36"/>
      <c r="R117" s="36"/>
      <c r="S117" s="36"/>
      <c r="T117" s="36"/>
      <c r="U117" s="36"/>
    </row>
    <row r="118" spans="1:21" ht="14.75" customHeight="1" x14ac:dyDescent="0.2">
      <c r="A118" s="57" t="s">
        <v>13</v>
      </c>
      <c r="B118" s="58" t="s">
        <v>14</v>
      </c>
      <c r="C118" s="58" t="s">
        <v>15</v>
      </c>
      <c r="D118" s="58" t="s">
        <v>16</v>
      </c>
      <c r="E118" s="36"/>
      <c r="F118" s="25" t="s">
        <v>17</v>
      </c>
      <c r="G118" s="59" t="s">
        <v>18</v>
      </c>
      <c r="H118" s="36"/>
      <c r="I118" s="57" t="s">
        <v>13</v>
      </c>
      <c r="J118" s="58" t="s">
        <v>14</v>
      </c>
      <c r="K118" s="58" t="s">
        <v>15</v>
      </c>
      <c r="L118" s="58" t="s">
        <v>16</v>
      </c>
      <c r="M118" s="36"/>
      <c r="N118" s="25" t="s">
        <v>17</v>
      </c>
      <c r="O118" s="59" t="s">
        <v>18</v>
      </c>
      <c r="P118" s="36"/>
      <c r="Q118" s="36"/>
      <c r="R118" s="36"/>
      <c r="S118" s="36"/>
      <c r="T118" s="36"/>
      <c r="U118" s="36"/>
    </row>
    <row r="119" spans="1:21" ht="14.75" customHeight="1" x14ac:dyDescent="0.2">
      <c r="A119" s="60" t="s">
        <v>19</v>
      </c>
      <c r="B119" s="61">
        <v>60.8</v>
      </c>
      <c r="C119" s="61">
        <v>66.900000000000006</v>
      </c>
      <c r="D119" s="61">
        <v>66.099999999999994</v>
      </c>
      <c r="E119" s="36"/>
      <c r="F119" s="62" t="s">
        <v>20</v>
      </c>
      <c r="G119" s="63">
        <f>IFERROR(AVERAGE(B119:D121),"-")</f>
        <v>65.188888888888897</v>
      </c>
      <c r="H119" s="36"/>
      <c r="I119" s="60" t="s">
        <v>19</v>
      </c>
      <c r="J119" s="61">
        <v>703.7</v>
      </c>
      <c r="K119" s="61">
        <v>929.4</v>
      </c>
      <c r="L119" s="61">
        <v>820</v>
      </c>
      <c r="M119" s="36"/>
      <c r="N119" s="62" t="s">
        <v>20</v>
      </c>
      <c r="O119" s="63">
        <f>IFERROR(AVERAGE(J119:L121),"-")</f>
        <v>835.63333333333333</v>
      </c>
      <c r="P119" s="36"/>
      <c r="Q119" s="36"/>
      <c r="R119" s="36"/>
      <c r="S119" s="36"/>
      <c r="T119" s="36"/>
      <c r="U119" s="36"/>
    </row>
    <row r="120" spans="1:21" ht="14.75" customHeight="1" x14ac:dyDescent="0.2">
      <c r="A120" s="60" t="s">
        <v>21</v>
      </c>
      <c r="B120" s="64">
        <v>64.8</v>
      </c>
      <c r="C120" s="64">
        <v>69.3</v>
      </c>
      <c r="D120" s="64">
        <v>65.5</v>
      </c>
      <c r="E120" s="36"/>
      <c r="F120" s="62" t="s">
        <v>22</v>
      </c>
      <c r="G120" s="63">
        <f>IFERROR(MIN(B119:D121),"-")</f>
        <v>60.8</v>
      </c>
      <c r="H120" s="36"/>
      <c r="I120" s="60" t="s">
        <v>21</v>
      </c>
      <c r="J120" s="64">
        <v>817.4</v>
      </c>
      <c r="K120" s="64">
        <v>989.2</v>
      </c>
      <c r="L120" s="64">
        <v>855</v>
      </c>
      <c r="M120" s="36"/>
      <c r="N120" s="62" t="s">
        <v>22</v>
      </c>
      <c r="O120" s="63">
        <f>IFERROR(MIN(J119:L121),"-")</f>
        <v>703.7</v>
      </c>
      <c r="P120" s="36"/>
      <c r="Q120" s="36"/>
      <c r="R120" s="36"/>
      <c r="S120" s="36"/>
      <c r="T120" s="36"/>
      <c r="U120" s="36"/>
    </row>
    <row r="121" spans="1:21" ht="14.75" customHeight="1" x14ac:dyDescent="0.2">
      <c r="A121" s="60" t="s">
        <v>23</v>
      </c>
      <c r="B121" s="64">
        <v>63</v>
      </c>
      <c r="C121" s="64">
        <v>65.8</v>
      </c>
      <c r="D121" s="64">
        <v>64.5</v>
      </c>
      <c r="E121" s="36"/>
      <c r="F121" s="62" t="s">
        <v>24</v>
      </c>
      <c r="G121" s="63">
        <f>IFERROR(MAX(B119:D121),"-")</f>
        <v>69.3</v>
      </c>
      <c r="H121" s="36"/>
      <c r="I121" s="60" t="s">
        <v>23</v>
      </c>
      <c r="J121" s="64">
        <v>771.5</v>
      </c>
      <c r="K121" s="64">
        <v>882.5</v>
      </c>
      <c r="L121" s="64">
        <v>752</v>
      </c>
      <c r="M121" s="36"/>
      <c r="N121" s="62" t="s">
        <v>24</v>
      </c>
      <c r="O121" s="63">
        <f>IFERROR(MAX(J119:L121),"-")</f>
        <v>989.2</v>
      </c>
      <c r="P121" s="36"/>
      <c r="Q121" s="36"/>
      <c r="R121" s="36"/>
      <c r="S121" s="36"/>
      <c r="T121" s="36"/>
      <c r="U121" s="36"/>
    </row>
    <row r="122" spans="1:21" ht="14.75" customHeight="1" x14ac:dyDescent="0.2">
      <c r="A122" s="36"/>
      <c r="B122" s="36"/>
      <c r="C122" s="36"/>
      <c r="D122" s="36"/>
      <c r="E122" s="36"/>
      <c r="F122" s="62" t="s">
        <v>25</v>
      </c>
      <c r="G122" s="63">
        <f>IFERROR(G121-G120,"-")</f>
        <v>8.5</v>
      </c>
      <c r="H122" s="36"/>
      <c r="I122" s="36"/>
      <c r="J122" s="36"/>
      <c r="K122" s="36"/>
      <c r="L122" s="36"/>
      <c r="M122" s="36"/>
      <c r="N122" s="62" t="s">
        <v>25</v>
      </c>
      <c r="O122" s="63">
        <f>IFERROR(O121-O120,"-")</f>
        <v>285.5</v>
      </c>
      <c r="P122" s="36"/>
      <c r="Q122" s="36"/>
      <c r="R122" s="36"/>
      <c r="S122" s="36"/>
      <c r="T122" s="36"/>
      <c r="U122" s="36"/>
    </row>
    <row r="123" spans="1:21" ht="14.75" customHeight="1" x14ac:dyDescent="0.2">
      <c r="A123" s="36"/>
      <c r="B123" s="36"/>
      <c r="C123" s="36"/>
      <c r="D123" s="36"/>
      <c r="E123" s="36"/>
      <c r="F123" s="62" t="s">
        <v>26</v>
      </c>
      <c r="G123" s="63">
        <f>IFERROR(STDEV(B119:D121),"-")</f>
        <v>2.3929293995250074</v>
      </c>
      <c r="H123" s="36"/>
      <c r="I123" s="36"/>
      <c r="J123" s="36"/>
      <c r="K123" s="36"/>
      <c r="L123" s="36"/>
      <c r="M123" s="36"/>
      <c r="N123" s="62" t="s">
        <v>26</v>
      </c>
      <c r="O123" s="63">
        <f>IFERROR(STDEV(J119:L121),"-")</f>
        <v>89.46880741353435</v>
      </c>
      <c r="P123" s="36"/>
      <c r="Q123" s="36"/>
      <c r="R123" s="36"/>
      <c r="S123" s="36"/>
      <c r="T123" s="36"/>
      <c r="U123" s="36"/>
    </row>
    <row r="124" spans="1:21" ht="14.7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62" t="s">
        <v>27</v>
      </c>
      <c r="O124" s="63">
        <f>IFERROR((1-((O121-O120)/(2*O119)))*100,"-")</f>
        <v>82.917148669671704</v>
      </c>
      <c r="P124" s="36"/>
      <c r="Q124" s="36"/>
      <c r="R124" s="36"/>
      <c r="S124" s="36"/>
      <c r="T124" s="36"/>
      <c r="U124" s="36"/>
    </row>
    <row r="125" spans="1:21" ht="14.7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spans="1:21" ht="14.75" customHeight="1" x14ac:dyDescent="0.2">
      <c r="A126" s="78" t="s">
        <v>28</v>
      </c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80"/>
      <c r="P126" s="36"/>
      <c r="Q126" s="36"/>
      <c r="R126" s="36"/>
      <c r="S126" s="36"/>
      <c r="T126" s="36"/>
      <c r="U126" s="36"/>
    </row>
    <row r="127" spans="1:21" ht="14.75" customHeight="1" x14ac:dyDescent="0.2">
      <c r="A127" s="62" t="s">
        <v>29</v>
      </c>
      <c r="B127" s="61"/>
      <c r="C127" s="36"/>
      <c r="D127" s="62" t="s">
        <v>30</v>
      </c>
      <c r="E127" s="61"/>
      <c r="F127" s="36"/>
      <c r="G127" s="62" t="s">
        <v>31</v>
      </c>
      <c r="H127" s="61"/>
      <c r="I127" s="36"/>
      <c r="J127" s="36"/>
      <c r="K127" s="62" t="s">
        <v>33</v>
      </c>
      <c r="L127" s="61"/>
      <c r="M127" s="36"/>
      <c r="N127" s="36"/>
      <c r="O127" s="36"/>
      <c r="P127" s="36"/>
      <c r="Q127" s="36"/>
      <c r="R127" s="36"/>
      <c r="S127" s="36"/>
      <c r="T127" s="36"/>
      <c r="U127" s="36"/>
    </row>
    <row r="128" spans="1:21" ht="14.7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</row>
    <row r="129" spans="1:21" ht="14.75" customHeight="1" x14ac:dyDescent="0.2">
      <c r="A129" s="78" t="s">
        <v>35</v>
      </c>
      <c r="B129" s="79"/>
      <c r="C129" s="79"/>
      <c r="D129" s="79"/>
      <c r="E129" s="79"/>
      <c r="F129" s="80"/>
      <c r="G129" s="36"/>
      <c r="H129" s="78" t="s">
        <v>36</v>
      </c>
      <c r="I129" s="8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</row>
    <row r="130" spans="1:21" ht="29" customHeight="1" x14ac:dyDescent="0.2">
      <c r="A130" s="57" t="s">
        <v>37</v>
      </c>
      <c r="B130" s="58" t="s">
        <v>38</v>
      </c>
      <c r="C130" s="58" t="s">
        <v>39</v>
      </c>
      <c r="D130" s="58" t="s">
        <v>40</v>
      </c>
      <c r="E130" s="58" t="s">
        <v>41</v>
      </c>
      <c r="F130" s="58" t="s">
        <v>42</v>
      </c>
      <c r="G130" s="36"/>
      <c r="H130" s="36"/>
      <c r="I130" s="36"/>
      <c r="J130" s="36"/>
      <c r="K130" s="49" t="s">
        <v>43</v>
      </c>
      <c r="L130" s="49" t="s">
        <v>44</v>
      </c>
      <c r="M130" s="36"/>
      <c r="N130" s="36"/>
      <c r="O130" s="36"/>
      <c r="P130" s="36"/>
      <c r="Q130" s="36"/>
      <c r="R130" s="36"/>
      <c r="S130" s="36"/>
      <c r="T130" s="36"/>
      <c r="U130" s="36"/>
    </row>
    <row r="131" spans="1:21" ht="14.75" customHeight="1" x14ac:dyDescent="0.2">
      <c r="A131" s="65">
        <v>1</v>
      </c>
      <c r="B131" s="61">
        <v>2</v>
      </c>
      <c r="C131" s="66">
        <v>3.74</v>
      </c>
      <c r="D131" s="66">
        <v>1.85</v>
      </c>
      <c r="E131" s="67">
        <f t="shared" ref="E131:E156" si="4">IF(OR(C131="",D131=""),"-",C131*D131)</f>
        <v>6.9190000000000005</v>
      </c>
      <c r="F131" s="63">
        <f t="shared" ref="F131:F156" si="5">IFERROR(C131/D131,"-")</f>
        <v>2.0216216216216218</v>
      </c>
      <c r="G131" s="36"/>
      <c r="H131" s="24" t="s">
        <v>45</v>
      </c>
      <c r="I131" s="68">
        <f>IFERROR(INDEX(C131:C156,MATCH("open",B131:B156,0)),"-")</f>
        <v>20.87</v>
      </c>
      <c r="J131" s="36"/>
      <c r="K131" s="69">
        <f>IF(ISNUMBER(I132),0,NA())</f>
        <v>0</v>
      </c>
      <c r="L131" s="70">
        <f>IF(ISNUMBER(I132),MIN(I132,$L$22),NA())</f>
        <v>1.8703260869565219</v>
      </c>
      <c r="M131" s="36"/>
      <c r="N131" s="36"/>
      <c r="O131" s="36"/>
      <c r="P131" s="36"/>
      <c r="Q131" s="36"/>
      <c r="R131" s="36"/>
      <c r="S131" s="36"/>
      <c r="T131" s="36"/>
      <c r="U131" s="36"/>
    </row>
    <row r="132" spans="1:21" ht="29" customHeight="1" x14ac:dyDescent="0.2">
      <c r="A132" s="65">
        <v>2</v>
      </c>
      <c r="B132" s="61">
        <v>3</v>
      </c>
      <c r="C132" s="66">
        <v>5.58</v>
      </c>
      <c r="D132" s="66">
        <v>1.84</v>
      </c>
      <c r="E132" s="67">
        <f t="shared" si="4"/>
        <v>10.267200000000001</v>
      </c>
      <c r="F132" s="63">
        <f t="shared" si="5"/>
        <v>3.0326086956521738</v>
      </c>
      <c r="G132" s="36"/>
      <c r="H132" s="56" t="s">
        <v>46</v>
      </c>
      <c r="I132" s="71">
        <f>IFERROR(D131-C131*(D132-D131)/(C132-C131),"-")</f>
        <v>1.8703260869565219</v>
      </c>
      <c r="J132" s="36"/>
      <c r="K132" s="69">
        <f>IF(ISNUMBER(C131),C131,NA())</f>
        <v>3.74</v>
      </c>
      <c r="L132" s="70">
        <f>IF(ISNUMBER(D131),D131,NA())</f>
        <v>1.85</v>
      </c>
      <c r="M132" s="36"/>
      <c r="N132" s="36"/>
      <c r="O132" s="36"/>
      <c r="P132" s="36"/>
      <c r="Q132" s="36"/>
      <c r="R132" s="36"/>
      <c r="S132" s="36"/>
      <c r="T132" s="36"/>
      <c r="U132" s="36"/>
    </row>
    <row r="133" spans="1:21" ht="14.75" customHeight="1" x14ac:dyDescent="0.2">
      <c r="A133" s="65">
        <v>3</v>
      </c>
      <c r="B133" s="61">
        <v>4</v>
      </c>
      <c r="C133" s="66">
        <v>7.36</v>
      </c>
      <c r="D133" s="66">
        <v>1.84</v>
      </c>
      <c r="E133" s="67">
        <f t="shared" si="4"/>
        <v>13.542400000000001</v>
      </c>
      <c r="F133" s="63">
        <f t="shared" si="5"/>
        <v>4</v>
      </c>
      <c r="G133" s="36"/>
      <c r="H133" s="56" t="s">
        <v>47</v>
      </c>
      <c r="I133" s="71">
        <f>IFERROR(MAX(E131:E156),"-")</f>
        <v>31.293600000000001</v>
      </c>
      <c r="J133" s="36"/>
      <c r="K133" s="36" t="s">
        <v>48</v>
      </c>
      <c r="L133" s="36" t="str">
        <f>IF(NOT(ISNUMBER(I132)),"",IF(I132&gt;$L$22,"Yes","No"))</f>
        <v>Yes</v>
      </c>
      <c r="M133" s="36"/>
      <c r="N133" s="36"/>
      <c r="O133" s="36"/>
      <c r="P133" s="36"/>
      <c r="Q133" s="36"/>
      <c r="R133" s="36"/>
      <c r="S133" s="36"/>
      <c r="T133" s="36"/>
      <c r="U133" s="36"/>
    </row>
    <row r="134" spans="1:21" ht="14.75" customHeight="1" x14ac:dyDescent="0.2">
      <c r="A134" s="65">
        <v>4</v>
      </c>
      <c r="B134" s="61">
        <v>5</v>
      </c>
      <c r="C134" s="66">
        <v>9.19</v>
      </c>
      <c r="D134" s="66">
        <v>1.83</v>
      </c>
      <c r="E134" s="67">
        <f t="shared" si="4"/>
        <v>16.817699999999999</v>
      </c>
      <c r="F134" s="63">
        <f t="shared" si="5"/>
        <v>5.0218579234972669</v>
      </c>
      <c r="G134" s="36"/>
      <c r="H134" s="56" t="s">
        <v>49</v>
      </c>
      <c r="I134" s="67">
        <f>IFERROR(INDEX(C131:C156,MATCH(I133,E131:E156,0)),"-")</f>
        <v>17.68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</row>
    <row r="135" spans="1:21" ht="14.75" customHeight="1" x14ac:dyDescent="0.2">
      <c r="A135" s="65">
        <v>5</v>
      </c>
      <c r="B135" s="61">
        <v>6</v>
      </c>
      <c r="C135" s="66">
        <v>10.97</v>
      </c>
      <c r="D135" s="66">
        <v>1.83</v>
      </c>
      <c r="E135" s="67">
        <f t="shared" si="4"/>
        <v>20.075100000000003</v>
      </c>
      <c r="F135" s="63">
        <f t="shared" si="5"/>
        <v>5.9945355191256828</v>
      </c>
      <c r="G135" s="36"/>
      <c r="H135" s="56" t="s">
        <v>50</v>
      </c>
      <c r="I135" s="67">
        <f>IFERROR(INDEX(D131:D156,MATCH(I133,E131:E156,0)),"-")</f>
        <v>1.77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</row>
    <row r="136" spans="1:21" ht="14.75" customHeight="1" x14ac:dyDescent="0.2">
      <c r="A136" s="65">
        <v>6</v>
      </c>
      <c r="B136" s="61">
        <v>7</v>
      </c>
      <c r="C136" s="66">
        <v>12.72</v>
      </c>
      <c r="D136" s="66">
        <v>1.82</v>
      </c>
      <c r="E136" s="67">
        <f t="shared" si="4"/>
        <v>23.150400000000001</v>
      </c>
      <c r="F136" s="63">
        <f t="shared" si="5"/>
        <v>6.9890109890109891</v>
      </c>
      <c r="G136" s="36"/>
      <c r="H136" s="56" t="s">
        <v>51</v>
      </c>
      <c r="I136" s="72">
        <f>IFERROR(I134/I135,"-")</f>
        <v>9.9887005649717509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spans="1:21" ht="14.75" customHeight="1" x14ac:dyDescent="0.2">
      <c r="A137" s="65">
        <v>7</v>
      </c>
      <c r="B137" s="61">
        <v>8</v>
      </c>
      <c r="C137" s="66">
        <v>14.58</v>
      </c>
      <c r="D137" s="66">
        <v>1.82</v>
      </c>
      <c r="E137" s="67">
        <f t="shared" si="4"/>
        <v>26.535600000000002</v>
      </c>
      <c r="F137" s="63">
        <f t="shared" si="5"/>
        <v>8.0109890109890109</v>
      </c>
      <c r="G137" s="36"/>
      <c r="H137" s="56" t="s">
        <v>52</v>
      </c>
      <c r="I137" s="72">
        <f>IFERROR(I133/(I131*I132),"-")</f>
        <v>0.80170713109174963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spans="1:21" ht="29" customHeight="1" x14ac:dyDescent="0.2">
      <c r="A138" s="65">
        <v>8</v>
      </c>
      <c r="B138" s="61">
        <v>9</v>
      </c>
      <c r="C138" s="66">
        <v>16.55</v>
      </c>
      <c r="D138" s="66">
        <v>1.8</v>
      </c>
      <c r="E138" s="67">
        <f t="shared" si="4"/>
        <v>29.790000000000003</v>
      </c>
      <c r="F138" s="63">
        <f t="shared" si="5"/>
        <v>9.1944444444444446</v>
      </c>
      <c r="G138" s="36"/>
      <c r="H138" s="56" t="s">
        <v>53</v>
      </c>
      <c r="I138" s="73">
        <f>COUNT(D131:D156)</f>
        <v>26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spans="1:21" ht="14.75" customHeight="1" x14ac:dyDescent="0.2">
      <c r="A139" s="65">
        <v>9</v>
      </c>
      <c r="B139" s="61">
        <v>10</v>
      </c>
      <c r="C139" s="66">
        <v>17.68</v>
      </c>
      <c r="D139" s="66">
        <v>1.77</v>
      </c>
      <c r="E139" s="67">
        <f t="shared" si="4"/>
        <v>31.293600000000001</v>
      </c>
      <c r="F139" s="63">
        <f t="shared" si="5"/>
        <v>9.9887005649717509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spans="1:21" ht="14.75" customHeight="1" x14ac:dyDescent="0.2">
      <c r="A140" s="65">
        <v>10</v>
      </c>
      <c r="B140" s="61">
        <v>11</v>
      </c>
      <c r="C140" s="66">
        <v>18.18</v>
      </c>
      <c r="D140" s="66">
        <v>1.65</v>
      </c>
      <c r="E140" s="67">
        <f t="shared" si="4"/>
        <v>29.996999999999996</v>
      </c>
      <c r="F140" s="63">
        <f t="shared" si="5"/>
        <v>11.018181818181819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spans="1:21" ht="14.75" customHeight="1" x14ac:dyDescent="0.2">
      <c r="A141" s="65">
        <v>11</v>
      </c>
      <c r="B141" s="61">
        <v>12</v>
      </c>
      <c r="C141" s="66">
        <v>18.510000000000002</v>
      </c>
      <c r="D141" s="66">
        <v>1.54</v>
      </c>
      <c r="E141" s="67">
        <f t="shared" si="4"/>
        <v>28.505400000000002</v>
      </c>
      <c r="F141" s="63">
        <f t="shared" si="5"/>
        <v>12.019480519480521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spans="1:21" ht="14.75" customHeight="1" x14ac:dyDescent="0.2">
      <c r="A142" s="65">
        <v>12</v>
      </c>
      <c r="B142" s="61">
        <v>13</v>
      </c>
      <c r="C142" s="66">
        <v>18.77</v>
      </c>
      <c r="D142" s="66">
        <v>1.45</v>
      </c>
      <c r="E142" s="67">
        <f t="shared" si="4"/>
        <v>27.2165</v>
      </c>
      <c r="F142" s="63">
        <f t="shared" si="5"/>
        <v>12.944827586206896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  <row r="143" spans="1:21" ht="14.75" customHeight="1" x14ac:dyDescent="0.2">
      <c r="A143" s="65">
        <v>13</v>
      </c>
      <c r="B143" s="61">
        <v>14</v>
      </c>
      <c r="C143" s="66">
        <v>18.98</v>
      </c>
      <c r="D143" s="66">
        <v>1.36</v>
      </c>
      <c r="E143" s="67">
        <f t="shared" si="4"/>
        <v>25.812800000000003</v>
      </c>
      <c r="F143" s="63">
        <f t="shared" si="5"/>
        <v>13.955882352941176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</row>
    <row r="144" spans="1:21" ht="14.75" customHeight="1" x14ac:dyDescent="0.2">
      <c r="A144" s="65">
        <v>14</v>
      </c>
      <c r="B144" s="61">
        <v>16</v>
      </c>
      <c r="C144" s="66">
        <v>19.29</v>
      </c>
      <c r="D144" s="66">
        <v>1.21</v>
      </c>
      <c r="E144" s="67">
        <f t="shared" si="4"/>
        <v>23.340899999999998</v>
      </c>
      <c r="F144" s="63">
        <f t="shared" si="5"/>
        <v>15.942148760330578</v>
      </c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</row>
    <row r="145" spans="1:21" ht="14.75" customHeight="1" x14ac:dyDescent="0.2">
      <c r="A145" s="65">
        <v>15</v>
      </c>
      <c r="B145" s="61">
        <v>18</v>
      </c>
      <c r="C145" s="66">
        <v>19.489999999999998</v>
      </c>
      <c r="D145" s="66">
        <v>1.08</v>
      </c>
      <c r="E145" s="67">
        <f t="shared" si="4"/>
        <v>21.049199999999999</v>
      </c>
      <c r="F145" s="63">
        <f t="shared" si="5"/>
        <v>18.046296296296294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</row>
    <row r="146" spans="1:21" ht="14.75" customHeight="1" x14ac:dyDescent="0.2">
      <c r="A146" s="65">
        <v>16</v>
      </c>
      <c r="B146" s="61">
        <v>20</v>
      </c>
      <c r="C146" s="66">
        <v>19.649999999999999</v>
      </c>
      <c r="D146" s="66">
        <v>0.98</v>
      </c>
      <c r="E146" s="67">
        <f t="shared" si="4"/>
        <v>19.256999999999998</v>
      </c>
      <c r="F146" s="63">
        <f t="shared" si="5"/>
        <v>20.051020408163264</v>
      </c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</row>
    <row r="147" spans="1:21" ht="14.75" customHeight="1" x14ac:dyDescent="0.2">
      <c r="A147" s="65">
        <v>17</v>
      </c>
      <c r="B147" s="61">
        <v>24</v>
      </c>
      <c r="C147" s="66">
        <v>19.97</v>
      </c>
      <c r="D147" s="66">
        <v>0.83</v>
      </c>
      <c r="E147" s="67">
        <f t="shared" si="4"/>
        <v>16.575099999999999</v>
      </c>
      <c r="F147" s="63">
        <f t="shared" si="5"/>
        <v>24.060240963855421</v>
      </c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</row>
    <row r="148" spans="1:21" ht="14.75" customHeight="1" x14ac:dyDescent="0.2">
      <c r="A148" s="65">
        <v>18</v>
      </c>
      <c r="B148" s="61">
        <v>28</v>
      </c>
      <c r="C148" s="66">
        <v>20.03</v>
      </c>
      <c r="D148" s="66">
        <v>0.72</v>
      </c>
      <c r="E148" s="67">
        <f t="shared" si="4"/>
        <v>14.4216</v>
      </c>
      <c r="F148" s="63">
        <f t="shared" si="5"/>
        <v>27.819444444444446</v>
      </c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</row>
    <row r="149" spans="1:21" ht="14.75" customHeight="1" x14ac:dyDescent="0.2">
      <c r="A149" s="65">
        <v>19</v>
      </c>
      <c r="B149" s="61">
        <v>33</v>
      </c>
      <c r="C149" s="66">
        <v>20.170000000000002</v>
      </c>
      <c r="D149" s="66">
        <v>0.61</v>
      </c>
      <c r="E149" s="67">
        <f t="shared" si="4"/>
        <v>12.303700000000001</v>
      </c>
      <c r="F149" s="63">
        <f t="shared" si="5"/>
        <v>33.06557377049181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</row>
    <row r="150" spans="1:21" ht="14.75" customHeight="1" x14ac:dyDescent="0.2">
      <c r="A150" s="65">
        <v>20</v>
      </c>
      <c r="B150" s="61">
        <v>40</v>
      </c>
      <c r="C150" s="66">
        <v>20.3</v>
      </c>
      <c r="D150" s="66">
        <v>0.51</v>
      </c>
      <c r="E150" s="67">
        <f t="shared" si="4"/>
        <v>10.353</v>
      </c>
      <c r="F150" s="63">
        <f t="shared" si="5"/>
        <v>39.803921568627452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</row>
    <row r="151" spans="1:21" ht="14.75" customHeight="1" x14ac:dyDescent="0.2">
      <c r="A151" s="65">
        <v>21</v>
      </c>
      <c r="B151" s="61">
        <v>50</v>
      </c>
      <c r="C151" s="66">
        <v>20.41</v>
      </c>
      <c r="D151" s="66">
        <v>0.41</v>
      </c>
      <c r="E151" s="67">
        <f t="shared" si="4"/>
        <v>8.3681000000000001</v>
      </c>
      <c r="F151" s="63">
        <f t="shared" si="5"/>
        <v>49.780487804878049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</row>
    <row r="152" spans="1:21" ht="14.75" customHeight="1" x14ac:dyDescent="0.2">
      <c r="A152" s="65">
        <v>22</v>
      </c>
      <c r="B152" s="61">
        <v>70</v>
      </c>
      <c r="C152" s="66">
        <v>20.55</v>
      </c>
      <c r="D152" s="66">
        <v>0.28999999999999998</v>
      </c>
      <c r="E152" s="67">
        <f t="shared" si="4"/>
        <v>5.9594999999999994</v>
      </c>
      <c r="F152" s="63">
        <f t="shared" si="5"/>
        <v>70.862068965517253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</row>
    <row r="153" spans="1:21" ht="14.75" customHeight="1" x14ac:dyDescent="0.2">
      <c r="A153" s="65">
        <v>23</v>
      </c>
      <c r="B153" s="61">
        <v>110</v>
      </c>
      <c r="C153" s="66">
        <v>20.66</v>
      </c>
      <c r="D153" s="66">
        <v>0.19</v>
      </c>
      <c r="E153" s="67">
        <f t="shared" si="4"/>
        <v>3.9254000000000002</v>
      </c>
      <c r="F153" s="63">
        <f t="shared" si="5"/>
        <v>108.73684210526315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</row>
    <row r="154" spans="1:21" ht="14.75" customHeight="1" x14ac:dyDescent="0.2">
      <c r="A154" s="65">
        <v>24</v>
      </c>
      <c r="B154" s="61">
        <v>200</v>
      </c>
      <c r="C154" s="66">
        <v>20.76</v>
      </c>
      <c r="D154" s="66">
        <v>0.1</v>
      </c>
      <c r="E154" s="67">
        <f t="shared" si="4"/>
        <v>2.0760000000000001</v>
      </c>
      <c r="F154" s="63">
        <f t="shared" si="5"/>
        <v>207.6</v>
      </c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</row>
    <row r="155" spans="1:21" ht="14.75" customHeight="1" x14ac:dyDescent="0.2">
      <c r="A155" s="65">
        <v>25</v>
      </c>
      <c r="B155" s="61">
        <v>400</v>
      </c>
      <c r="C155" s="66">
        <v>20.82</v>
      </c>
      <c r="D155" s="66">
        <v>0.05</v>
      </c>
      <c r="E155" s="67">
        <f t="shared" si="4"/>
        <v>1.0410000000000001</v>
      </c>
      <c r="F155" s="63">
        <f t="shared" si="5"/>
        <v>416.4</v>
      </c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</row>
    <row r="156" spans="1:21" ht="14.75" customHeight="1" x14ac:dyDescent="0.2">
      <c r="A156" s="65">
        <v>26</v>
      </c>
      <c r="B156" s="61" t="s">
        <v>54</v>
      </c>
      <c r="C156" s="66">
        <v>20.87</v>
      </c>
      <c r="D156" s="66">
        <v>0</v>
      </c>
      <c r="E156" s="67">
        <f t="shared" si="4"/>
        <v>0</v>
      </c>
      <c r="F156" s="63" t="str">
        <f t="shared" si="5"/>
        <v>-</v>
      </c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</row>
    <row r="157" spans="1:21" ht="14.7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</row>
    <row r="158" spans="1:21" ht="14.75" customHeight="1" x14ac:dyDescent="0.2">
      <c r="A158" s="81" t="s">
        <v>55</v>
      </c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36"/>
      <c r="Q158" s="36"/>
      <c r="R158" s="36"/>
      <c r="S158" s="36"/>
      <c r="T158" s="36"/>
      <c r="U158" s="36"/>
    </row>
    <row r="159" spans="1:21" ht="14.7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</row>
    <row r="160" spans="1:21" ht="14.7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</row>
    <row r="161" spans="1:21" ht="14.7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</row>
    <row r="162" spans="1:21" ht="83" customHeight="1" x14ac:dyDescent="0.2">
      <c r="A162" s="20" t="s">
        <v>0</v>
      </c>
      <c r="B162" s="74">
        <v>46274</v>
      </c>
      <c r="C162" s="36"/>
      <c r="D162" s="20" t="s">
        <v>1</v>
      </c>
      <c r="E162" s="75">
        <v>0.65277777777777779</v>
      </c>
      <c r="F162" s="36"/>
      <c r="G162" s="36"/>
      <c r="H162" s="23" t="s">
        <v>2</v>
      </c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</row>
    <row r="163" spans="1:21" ht="14.7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</row>
    <row r="164" spans="1:21" ht="14.75" customHeight="1" x14ac:dyDescent="0.2">
      <c r="A164" s="78" t="s">
        <v>3</v>
      </c>
      <c r="B164" s="80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</row>
    <row r="165" spans="1:21" ht="43.25" customHeight="1" x14ac:dyDescent="0.2">
      <c r="A165" s="56" t="s">
        <v>4</v>
      </c>
      <c r="B165" s="82" t="s">
        <v>56</v>
      </c>
      <c r="C165" s="83"/>
      <c r="D165" s="84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</row>
    <row r="166" spans="1:21" ht="43.25" customHeight="1" x14ac:dyDescent="0.2">
      <c r="A166" s="56" t="s">
        <v>5</v>
      </c>
      <c r="B166" s="82" t="s">
        <v>59</v>
      </c>
      <c r="C166" s="83"/>
      <c r="D166" s="84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</row>
    <row r="167" spans="1:21" ht="43.25" customHeight="1" x14ac:dyDescent="0.2">
      <c r="A167" s="56" t="s">
        <v>7</v>
      </c>
      <c r="B167" s="82" t="s">
        <v>8</v>
      </c>
      <c r="C167" s="83"/>
      <c r="D167" s="84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</row>
    <row r="168" spans="1:21" ht="43.25" customHeight="1" x14ac:dyDescent="0.2">
      <c r="A168" s="56" t="s">
        <v>9</v>
      </c>
      <c r="B168" s="82" t="s">
        <v>60</v>
      </c>
      <c r="C168" s="83"/>
      <c r="D168" s="84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</row>
    <row r="169" spans="1:21" ht="14.7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</row>
    <row r="170" spans="1:21" ht="14.75" customHeight="1" x14ac:dyDescent="0.2">
      <c r="A170" s="78" t="s">
        <v>11</v>
      </c>
      <c r="B170" s="79"/>
      <c r="C170" s="79"/>
      <c r="D170" s="80"/>
      <c r="E170" s="36"/>
      <c r="F170" s="36"/>
      <c r="G170" s="36"/>
      <c r="H170" s="36"/>
      <c r="I170" s="78" t="s">
        <v>12</v>
      </c>
      <c r="J170" s="79"/>
      <c r="K170" s="79"/>
      <c r="L170" s="80"/>
      <c r="M170" s="36"/>
      <c r="N170" s="36"/>
      <c r="O170" s="36"/>
      <c r="P170" s="36"/>
      <c r="Q170" s="36"/>
      <c r="R170" s="36"/>
      <c r="S170" s="36"/>
      <c r="T170" s="36"/>
      <c r="U170" s="36"/>
    </row>
    <row r="171" spans="1:21" ht="14.75" customHeight="1" x14ac:dyDescent="0.2">
      <c r="A171" s="57" t="s">
        <v>13</v>
      </c>
      <c r="B171" s="58" t="s">
        <v>14</v>
      </c>
      <c r="C171" s="58" t="s">
        <v>15</v>
      </c>
      <c r="D171" s="58" t="s">
        <v>16</v>
      </c>
      <c r="E171" s="36"/>
      <c r="F171" s="25" t="s">
        <v>17</v>
      </c>
      <c r="G171" s="59" t="s">
        <v>18</v>
      </c>
      <c r="H171" s="36"/>
      <c r="I171" s="57" t="s">
        <v>13</v>
      </c>
      <c r="J171" s="58" t="s">
        <v>14</v>
      </c>
      <c r="K171" s="58" t="s">
        <v>15</v>
      </c>
      <c r="L171" s="58" t="s">
        <v>16</v>
      </c>
      <c r="M171" s="36"/>
      <c r="N171" s="25" t="s">
        <v>17</v>
      </c>
      <c r="O171" s="59" t="s">
        <v>18</v>
      </c>
      <c r="P171" s="36"/>
      <c r="Q171" s="36"/>
      <c r="R171" s="36"/>
      <c r="S171" s="36"/>
      <c r="T171" s="36"/>
      <c r="U171" s="36"/>
    </row>
    <row r="172" spans="1:21" ht="14.75" customHeight="1" x14ac:dyDescent="0.2">
      <c r="A172" s="60" t="s">
        <v>19</v>
      </c>
      <c r="B172" s="61">
        <v>37.1</v>
      </c>
      <c r="C172" s="61">
        <v>35.5</v>
      </c>
      <c r="D172" s="61">
        <v>34</v>
      </c>
      <c r="E172" s="36"/>
      <c r="F172" s="62" t="s">
        <v>20</v>
      </c>
      <c r="G172" s="63">
        <f>IFERROR(AVERAGE(B172:D174),"-")</f>
        <v>36.166666666666664</v>
      </c>
      <c r="H172" s="36"/>
      <c r="I172" s="60" t="s">
        <v>19</v>
      </c>
      <c r="J172" s="61">
        <v>290.5</v>
      </c>
      <c r="K172" s="61">
        <v>381.2</v>
      </c>
      <c r="L172" s="61">
        <v>328.8</v>
      </c>
      <c r="M172" s="36"/>
      <c r="N172" s="62" t="s">
        <v>20</v>
      </c>
      <c r="O172" s="63">
        <f>IFERROR(AVERAGE(J172:L174),"-")</f>
        <v>340.83333333333326</v>
      </c>
      <c r="P172" s="36"/>
      <c r="Q172" s="36"/>
      <c r="R172" s="36"/>
      <c r="S172" s="36"/>
      <c r="T172" s="36"/>
      <c r="U172" s="36"/>
    </row>
    <row r="173" spans="1:21" ht="14.75" customHeight="1" x14ac:dyDescent="0.2">
      <c r="A173" s="60" t="s">
        <v>21</v>
      </c>
      <c r="B173" s="64">
        <v>33.799999999999997</v>
      </c>
      <c r="C173" s="64">
        <v>35.4</v>
      </c>
      <c r="D173" s="64">
        <v>35.299999999999997</v>
      </c>
      <c r="E173" s="36"/>
      <c r="F173" s="62" t="s">
        <v>22</v>
      </c>
      <c r="G173" s="63">
        <f>IFERROR(MIN(B172:D174),"-")</f>
        <v>33.799999999999997</v>
      </c>
      <c r="H173" s="36"/>
      <c r="I173" s="60" t="s">
        <v>21</v>
      </c>
      <c r="J173" s="64">
        <v>325.7</v>
      </c>
      <c r="K173" s="64">
        <v>407</v>
      </c>
      <c r="L173" s="64">
        <v>352.8</v>
      </c>
      <c r="M173" s="36"/>
      <c r="N173" s="62" t="s">
        <v>22</v>
      </c>
      <c r="O173" s="63">
        <f>IFERROR(MIN(J172:L174),"-")</f>
        <v>290.5</v>
      </c>
      <c r="P173" s="36"/>
      <c r="Q173" s="36"/>
      <c r="R173" s="36"/>
      <c r="S173" s="36"/>
      <c r="T173" s="36"/>
      <c r="U173" s="36"/>
    </row>
    <row r="174" spans="1:21" ht="14.75" customHeight="1" x14ac:dyDescent="0.2">
      <c r="A174" s="60" t="s">
        <v>23</v>
      </c>
      <c r="B174" s="64">
        <v>37.299999999999997</v>
      </c>
      <c r="C174" s="64">
        <v>37.799999999999997</v>
      </c>
      <c r="D174" s="64">
        <v>39.299999999999997</v>
      </c>
      <c r="E174" s="36"/>
      <c r="F174" s="62" t="s">
        <v>24</v>
      </c>
      <c r="G174" s="63">
        <f>IFERROR(MAX(B172:D174),"-")</f>
        <v>39.299999999999997</v>
      </c>
      <c r="H174" s="36"/>
      <c r="I174" s="60" t="s">
        <v>23</v>
      </c>
      <c r="J174" s="64">
        <v>299.7</v>
      </c>
      <c r="K174" s="64">
        <v>374.6</v>
      </c>
      <c r="L174" s="64">
        <v>307.2</v>
      </c>
      <c r="M174" s="36"/>
      <c r="N174" s="62" t="s">
        <v>24</v>
      </c>
      <c r="O174" s="63">
        <f>IFERROR(MAX(J172:L174),"-")</f>
        <v>407</v>
      </c>
      <c r="P174" s="36"/>
      <c r="Q174" s="36"/>
      <c r="R174" s="36"/>
      <c r="S174" s="36"/>
      <c r="T174" s="36"/>
      <c r="U174" s="36"/>
    </row>
    <row r="175" spans="1:21" ht="14.75" customHeight="1" x14ac:dyDescent="0.2">
      <c r="A175" s="36"/>
      <c r="B175" s="36"/>
      <c r="C175" s="36"/>
      <c r="D175" s="36"/>
      <c r="E175" s="36"/>
      <c r="F175" s="62" t="s">
        <v>25</v>
      </c>
      <c r="G175" s="63">
        <f>IFERROR(G174-G173,"-")</f>
        <v>5.5</v>
      </c>
      <c r="H175" s="36"/>
      <c r="I175" s="36"/>
      <c r="J175" s="36"/>
      <c r="K175" s="36"/>
      <c r="L175" s="36"/>
      <c r="M175" s="36"/>
      <c r="N175" s="62" t="s">
        <v>25</v>
      </c>
      <c r="O175" s="63">
        <f>IFERROR(O174-O173,"-")</f>
        <v>116.5</v>
      </c>
      <c r="P175" s="36"/>
      <c r="Q175" s="36"/>
      <c r="R175" s="36"/>
      <c r="S175" s="36"/>
      <c r="T175" s="36"/>
      <c r="U175" s="36"/>
    </row>
    <row r="176" spans="1:21" ht="14.75" customHeight="1" x14ac:dyDescent="0.2">
      <c r="A176" s="36"/>
      <c r="B176" s="36"/>
      <c r="C176" s="36"/>
      <c r="D176" s="36"/>
      <c r="E176" s="36"/>
      <c r="F176" s="62" t="s">
        <v>26</v>
      </c>
      <c r="G176" s="63">
        <f>IFERROR(STDEV(B172:D174),"-")</f>
        <v>1.8275666882497061</v>
      </c>
      <c r="H176" s="36"/>
      <c r="I176" s="36"/>
      <c r="J176" s="36"/>
      <c r="K176" s="36"/>
      <c r="L176" s="36"/>
      <c r="M176" s="36"/>
      <c r="N176" s="62" t="s">
        <v>26</v>
      </c>
      <c r="O176" s="63">
        <f>IFERROR(STDEV(J172:L174),"-")</f>
        <v>40.344299473408071</v>
      </c>
      <c r="P176" s="36"/>
      <c r="Q176" s="36"/>
      <c r="R176" s="36"/>
      <c r="S176" s="36"/>
      <c r="T176" s="36"/>
      <c r="U176" s="36"/>
    </row>
    <row r="177" spans="1:21" ht="14.7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62" t="s">
        <v>27</v>
      </c>
      <c r="O177" s="63">
        <f>IFERROR((1-((O174-O173)/(2*O172)))*100,"-")</f>
        <v>82.909535452322729</v>
      </c>
      <c r="P177" s="36"/>
      <c r="Q177" s="36"/>
      <c r="R177" s="36"/>
      <c r="S177" s="36"/>
      <c r="T177" s="36"/>
      <c r="U177" s="36"/>
    </row>
    <row r="178" spans="1:21" ht="14.7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</row>
    <row r="179" spans="1:21" ht="14.75" customHeight="1" x14ac:dyDescent="0.2">
      <c r="A179" s="78" t="s">
        <v>28</v>
      </c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80"/>
      <c r="P179" s="36"/>
      <c r="Q179" s="36"/>
      <c r="R179" s="36"/>
      <c r="S179" s="36"/>
      <c r="T179" s="36"/>
      <c r="U179" s="36"/>
    </row>
    <row r="180" spans="1:21" ht="14.75" customHeight="1" x14ac:dyDescent="0.2">
      <c r="A180" s="62" t="s">
        <v>29</v>
      </c>
      <c r="B180" s="61"/>
      <c r="C180" s="36"/>
      <c r="D180" s="62" t="s">
        <v>30</v>
      </c>
      <c r="E180" s="61"/>
      <c r="F180" s="36"/>
      <c r="G180" s="62" t="s">
        <v>31</v>
      </c>
      <c r="H180" s="61"/>
      <c r="I180" s="36"/>
      <c r="J180" s="36"/>
      <c r="K180" s="62" t="s">
        <v>33</v>
      </c>
      <c r="L180" s="61"/>
      <c r="M180" s="36"/>
      <c r="N180" s="36"/>
      <c r="O180" s="36"/>
      <c r="P180" s="36"/>
      <c r="Q180" s="36"/>
      <c r="R180" s="36"/>
      <c r="S180" s="36"/>
      <c r="T180" s="36"/>
      <c r="U180" s="36"/>
    </row>
    <row r="181" spans="1:21" ht="14.7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</row>
    <row r="182" spans="1:21" ht="14.75" customHeight="1" x14ac:dyDescent="0.2">
      <c r="A182" s="78" t="s">
        <v>35</v>
      </c>
      <c r="B182" s="79"/>
      <c r="C182" s="79"/>
      <c r="D182" s="79"/>
      <c r="E182" s="79"/>
      <c r="F182" s="80"/>
      <c r="G182" s="36"/>
      <c r="H182" s="78" t="s">
        <v>36</v>
      </c>
      <c r="I182" s="80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</row>
    <row r="183" spans="1:21" ht="29" customHeight="1" x14ac:dyDescent="0.2">
      <c r="A183" s="57" t="s">
        <v>37</v>
      </c>
      <c r="B183" s="58" t="s">
        <v>38</v>
      </c>
      <c r="C183" s="58" t="s">
        <v>39</v>
      </c>
      <c r="D183" s="58" t="s">
        <v>40</v>
      </c>
      <c r="E183" s="58" t="s">
        <v>41</v>
      </c>
      <c r="F183" s="58" t="s">
        <v>42</v>
      </c>
      <c r="G183" s="36"/>
      <c r="H183" s="36"/>
      <c r="I183" s="36"/>
      <c r="J183" s="36"/>
      <c r="K183" s="49" t="s">
        <v>43</v>
      </c>
      <c r="L183" s="49" t="s">
        <v>44</v>
      </c>
      <c r="M183" s="36"/>
      <c r="N183" s="36"/>
      <c r="O183" s="36"/>
      <c r="P183" s="36"/>
      <c r="Q183" s="36"/>
      <c r="R183" s="36"/>
      <c r="S183" s="36"/>
      <c r="T183" s="36"/>
      <c r="U183" s="36"/>
    </row>
    <row r="184" spans="1:21" ht="14.75" customHeight="1" x14ac:dyDescent="0.2">
      <c r="A184" s="65">
        <v>1</v>
      </c>
      <c r="B184" s="61">
        <v>2</v>
      </c>
      <c r="C184" s="66">
        <v>1.44</v>
      </c>
      <c r="D184" s="66">
        <v>0.7</v>
      </c>
      <c r="E184" s="67">
        <f t="shared" ref="E184:E209" si="6">IF(OR(C184="",D184=""),"-",C184*D184)</f>
        <v>1.008</v>
      </c>
      <c r="F184" s="63">
        <f t="shared" ref="F184:F209" si="7">IFERROR(C184/D184,"-")</f>
        <v>2.0571428571428574</v>
      </c>
      <c r="G184" s="36"/>
      <c r="H184" s="24" t="s">
        <v>45</v>
      </c>
      <c r="I184" s="68">
        <f>IFERROR(INDEX(C184:C209,MATCH("open",B184:B209,0)),"-")</f>
        <v>21.41</v>
      </c>
      <c r="J184" s="36"/>
      <c r="K184" s="69">
        <f>IF(ISNUMBER(I185),0,NA())</f>
        <v>0</v>
      </c>
      <c r="L184" s="70">
        <f>IF(ISNUMBER(I185),MIN(I185,$L$22),NA())</f>
        <v>0.7</v>
      </c>
      <c r="M184" s="36"/>
      <c r="N184" s="36"/>
      <c r="O184" s="36"/>
      <c r="P184" s="36"/>
      <c r="Q184" s="36"/>
      <c r="R184" s="36"/>
      <c r="S184" s="36"/>
      <c r="T184" s="36"/>
      <c r="U184" s="36"/>
    </row>
    <row r="185" spans="1:21" ht="29" customHeight="1" x14ac:dyDescent="0.2">
      <c r="A185" s="65">
        <v>2</v>
      </c>
      <c r="B185" s="61">
        <v>3</v>
      </c>
      <c r="C185" s="66">
        <v>2.14</v>
      </c>
      <c r="D185" s="66">
        <v>0.7</v>
      </c>
      <c r="E185" s="67">
        <f t="shared" si="6"/>
        <v>1.498</v>
      </c>
      <c r="F185" s="63">
        <f t="shared" si="7"/>
        <v>3.0571428571428574</v>
      </c>
      <c r="G185" s="36"/>
      <c r="H185" s="56" t="s">
        <v>46</v>
      </c>
      <c r="I185" s="71">
        <f>IFERROR(D184-C184*(D185-D184)/(C185-C184),"-")</f>
        <v>0.7</v>
      </c>
      <c r="J185" s="36"/>
      <c r="K185" s="69">
        <f>IF(ISNUMBER(C184),C184,NA())</f>
        <v>1.44</v>
      </c>
      <c r="L185" s="70">
        <f>IF(ISNUMBER(D184),D184,NA())</f>
        <v>0.7</v>
      </c>
      <c r="M185" s="36"/>
      <c r="N185" s="36"/>
      <c r="O185" s="36"/>
      <c r="P185" s="36"/>
      <c r="Q185" s="36"/>
      <c r="R185" s="36"/>
      <c r="S185" s="36"/>
      <c r="T185" s="36"/>
      <c r="U185" s="36"/>
    </row>
    <row r="186" spans="1:21" ht="14.75" customHeight="1" x14ac:dyDescent="0.2">
      <c r="A186" s="65">
        <v>3</v>
      </c>
      <c r="B186" s="61">
        <v>4</v>
      </c>
      <c r="C186" s="66">
        <v>2.82</v>
      </c>
      <c r="D186" s="66">
        <v>0.7</v>
      </c>
      <c r="E186" s="67">
        <f t="shared" si="6"/>
        <v>1.9739999999999998</v>
      </c>
      <c r="F186" s="63">
        <f t="shared" si="7"/>
        <v>4.0285714285714285</v>
      </c>
      <c r="G186" s="36"/>
      <c r="H186" s="56" t="s">
        <v>47</v>
      </c>
      <c r="I186" s="71">
        <f>IFERROR(MAX(E184:E209),"-")</f>
        <v>12.4955</v>
      </c>
      <c r="J186" s="36"/>
      <c r="K186" s="36" t="s">
        <v>48</v>
      </c>
      <c r="L186" s="36" t="str">
        <f>IF(NOT(ISNUMBER(I185)),"",IF(I185&gt;$L$22,"Yes","No"))</f>
        <v>Yes</v>
      </c>
      <c r="M186" s="36"/>
      <c r="N186" s="36"/>
      <c r="O186" s="36"/>
      <c r="P186" s="36"/>
      <c r="Q186" s="36"/>
      <c r="R186" s="36"/>
      <c r="S186" s="36"/>
      <c r="T186" s="36"/>
      <c r="U186" s="36"/>
    </row>
    <row r="187" spans="1:21" ht="14.75" customHeight="1" x14ac:dyDescent="0.2">
      <c r="A187" s="65">
        <v>4</v>
      </c>
      <c r="B187" s="61">
        <v>5</v>
      </c>
      <c r="C187" s="66">
        <v>3.51</v>
      </c>
      <c r="D187" s="66">
        <v>0.7</v>
      </c>
      <c r="E187" s="67">
        <f t="shared" si="6"/>
        <v>2.4569999999999999</v>
      </c>
      <c r="F187" s="63">
        <f t="shared" si="7"/>
        <v>5.0142857142857142</v>
      </c>
      <c r="G187" s="36"/>
      <c r="H187" s="56" t="s">
        <v>49</v>
      </c>
      <c r="I187" s="67">
        <f>IFERROR(INDEX(C184:C209,MATCH(I186,E184:E209,0)),"-")</f>
        <v>18.649999999999999</v>
      </c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</row>
    <row r="188" spans="1:21" ht="14.75" customHeight="1" x14ac:dyDescent="0.2">
      <c r="A188" s="65">
        <v>5</v>
      </c>
      <c r="B188" s="61">
        <v>6</v>
      </c>
      <c r="C188" s="66">
        <v>4.2300000000000004</v>
      </c>
      <c r="D188" s="66">
        <v>0.7</v>
      </c>
      <c r="E188" s="67">
        <f t="shared" si="6"/>
        <v>2.9610000000000003</v>
      </c>
      <c r="F188" s="63">
        <f t="shared" si="7"/>
        <v>6.0428571428571436</v>
      </c>
      <c r="G188" s="36"/>
      <c r="H188" s="56" t="s">
        <v>50</v>
      </c>
      <c r="I188" s="67">
        <f>IFERROR(INDEX(D184:D209,MATCH(I186,E184:E209,0)),"-")</f>
        <v>0.67</v>
      </c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</row>
    <row r="189" spans="1:21" ht="14.75" customHeight="1" x14ac:dyDescent="0.2">
      <c r="A189" s="65">
        <v>6</v>
      </c>
      <c r="B189" s="61">
        <v>7</v>
      </c>
      <c r="C189" s="66">
        <v>4.9000000000000004</v>
      </c>
      <c r="D189" s="66">
        <v>0.7</v>
      </c>
      <c r="E189" s="67">
        <f t="shared" si="6"/>
        <v>3.43</v>
      </c>
      <c r="F189" s="63">
        <f t="shared" si="7"/>
        <v>7.0000000000000009</v>
      </c>
      <c r="G189" s="36"/>
      <c r="H189" s="56" t="s">
        <v>51</v>
      </c>
      <c r="I189" s="72">
        <f>IFERROR(I187/I188,"-")</f>
        <v>27.835820895522385</v>
      </c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</row>
    <row r="190" spans="1:21" ht="14.75" customHeight="1" x14ac:dyDescent="0.2">
      <c r="A190" s="65">
        <v>7</v>
      </c>
      <c r="B190" s="61">
        <v>8</v>
      </c>
      <c r="C190" s="66">
        <v>5.58</v>
      </c>
      <c r="D190" s="66">
        <v>0.7</v>
      </c>
      <c r="E190" s="67">
        <f t="shared" si="6"/>
        <v>3.9059999999999997</v>
      </c>
      <c r="F190" s="63">
        <f t="shared" si="7"/>
        <v>7.9714285714285724</v>
      </c>
      <c r="G190" s="36"/>
      <c r="H190" s="56" t="s">
        <v>52</v>
      </c>
      <c r="I190" s="72">
        <f>IFERROR(I186/(I184*I185),"-")</f>
        <v>0.83375592179889246</v>
      </c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</row>
    <row r="191" spans="1:21" ht="29" customHeight="1" x14ac:dyDescent="0.2">
      <c r="A191" s="65">
        <v>8</v>
      </c>
      <c r="B191" s="61">
        <v>9</v>
      </c>
      <c r="C191" s="66">
        <v>6.25</v>
      </c>
      <c r="D191" s="66">
        <v>0.69</v>
      </c>
      <c r="E191" s="67">
        <f t="shared" si="6"/>
        <v>4.3125</v>
      </c>
      <c r="F191" s="63">
        <f t="shared" si="7"/>
        <v>9.0579710144927539</v>
      </c>
      <c r="G191" s="36"/>
      <c r="H191" s="56" t="s">
        <v>53</v>
      </c>
      <c r="I191" s="73">
        <f>COUNT(D184:D209)</f>
        <v>26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</row>
    <row r="192" spans="1:21" ht="14.75" customHeight="1" x14ac:dyDescent="0.2">
      <c r="A192" s="65">
        <v>9</v>
      </c>
      <c r="B192" s="61">
        <v>10</v>
      </c>
      <c r="C192" s="66">
        <v>6.94</v>
      </c>
      <c r="D192" s="66">
        <v>0.69</v>
      </c>
      <c r="E192" s="67">
        <f t="shared" si="6"/>
        <v>4.7885999999999997</v>
      </c>
      <c r="F192" s="63">
        <f t="shared" si="7"/>
        <v>10.057971014492756</v>
      </c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</row>
    <row r="193" spans="1:21" ht="14.75" customHeight="1" x14ac:dyDescent="0.2">
      <c r="A193" s="65">
        <v>10</v>
      </c>
      <c r="B193" s="61">
        <v>11</v>
      </c>
      <c r="C193" s="66">
        <v>7.6</v>
      </c>
      <c r="D193" s="66">
        <v>0.69</v>
      </c>
      <c r="E193" s="67">
        <f t="shared" si="6"/>
        <v>5.2439999999999998</v>
      </c>
      <c r="F193" s="63">
        <f t="shared" si="7"/>
        <v>11.014492753623189</v>
      </c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</row>
    <row r="194" spans="1:21" ht="14.75" customHeight="1" x14ac:dyDescent="0.2">
      <c r="A194" s="65">
        <v>11</v>
      </c>
      <c r="B194" s="61">
        <v>12</v>
      </c>
      <c r="C194" s="66">
        <v>8.2899999999999991</v>
      </c>
      <c r="D194" s="66">
        <v>0.69</v>
      </c>
      <c r="E194" s="67">
        <f t="shared" si="6"/>
        <v>5.7200999999999986</v>
      </c>
      <c r="F194" s="63">
        <f t="shared" si="7"/>
        <v>12.014492753623188</v>
      </c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</row>
    <row r="195" spans="1:21" ht="14.75" customHeight="1" x14ac:dyDescent="0.2">
      <c r="A195" s="65">
        <v>12</v>
      </c>
      <c r="B195" s="61">
        <v>13</v>
      </c>
      <c r="C195" s="66">
        <v>8.92</v>
      </c>
      <c r="D195" s="66">
        <v>0.69</v>
      </c>
      <c r="E195" s="67">
        <f t="shared" si="6"/>
        <v>6.1547999999999998</v>
      </c>
      <c r="F195" s="63">
        <f t="shared" si="7"/>
        <v>12.927536231884059</v>
      </c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</row>
    <row r="196" spans="1:21" ht="14.75" customHeight="1" x14ac:dyDescent="0.2">
      <c r="A196" s="65">
        <v>13</v>
      </c>
      <c r="B196" s="61">
        <v>14</v>
      </c>
      <c r="C196" s="66">
        <v>9.58</v>
      </c>
      <c r="D196" s="66">
        <v>0.69</v>
      </c>
      <c r="E196" s="67">
        <f t="shared" si="6"/>
        <v>6.6101999999999999</v>
      </c>
      <c r="F196" s="63">
        <f t="shared" si="7"/>
        <v>13.884057971014494</v>
      </c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</row>
    <row r="197" spans="1:21" ht="14.75" customHeight="1" x14ac:dyDescent="0.2">
      <c r="A197" s="65">
        <v>14</v>
      </c>
      <c r="B197" s="61">
        <v>16</v>
      </c>
      <c r="C197" s="66">
        <v>10.9</v>
      </c>
      <c r="D197" s="66">
        <v>0.68</v>
      </c>
      <c r="E197" s="67">
        <f t="shared" si="6"/>
        <v>7.4120000000000008</v>
      </c>
      <c r="F197" s="63">
        <f t="shared" si="7"/>
        <v>16.02941176470588</v>
      </c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</row>
    <row r="198" spans="1:21" ht="14.75" customHeight="1" x14ac:dyDescent="0.2">
      <c r="A198" s="65">
        <v>15</v>
      </c>
      <c r="B198" s="61">
        <v>18</v>
      </c>
      <c r="C198" s="66">
        <v>12.2</v>
      </c>
      <c r="D198" s="66">
        <v>0.68</v>
      </c>
      <c r="E198" s="67">
        <f t="shared" si="6"/>
        <v>8.2959999999999994</v>
      </c>
      <c r="F198" s="63">
        <f t="shared" si="7"/>
        <v>17.941176470588232</v>
      </c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</row>
    <row r="199" spans="1:21" ht="14.75" customHeight="1" x14ac:dyDescent="0.2">
      <c r="A199" s="65">
        <v>16</v>
      </c>
      <c r="B199" s="61">
        <v>20</v>
      </c>
      <c r="C199" s="66">
        <v>13.46</v>
      </c>
      <c r="D199" s="66">
        <v>0.68</v>
      </c>
      <c r="E199" s="67">
        <f t="shared" si="6"/>
        <v>9.1528000000000009</v>
      </c>
      <c r="F199" s="63">
        <f t="shared" si="7"/>
        <v>19.794117647058822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</row>
    <row r="200" spans="1:21" ht="14.75" customHeight="1" x14ac:dyDescent="0.2">
      <c r="A200" s="65">
        <v>17</v>
      </c>
      <c r="B200" s="61">
        <v>24</v>
      </c>
      <c r="C200" s="66">
        <v>16.239999999999998</v>
      </c>
      <c r="D200" s="66">
        <v>0.68</v>
      </c>
      <c r="E200" s="67">
        <f t="shared" si="6"/>
        <v>11.043200000000001</v>
      </c>
      <c r="F200" s="63">
        <f t="shared" si="7"/>
        <v>23.882352941176467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</row>
    <row r="201" spans="1:21" ht="14.75" customHeight="1" x14ac:dyDescent="0.2">
      <c r="A201" s="65">
        <v>18</v>
      </c>
      <c r="B201" s="61">
        <v>28</v>
      </c>
      <c r="C201" s="66">
        <v>18.649999999999999</v>
      </c>
      <c r="D201" s="66">
        <v>0.67</v>
      </c>
      <c r="E201" s="67">
        <f t="shared" si="6"/>
        <v>12.4955</v>
      </c>
      <c r="F201" s="63">
        <f t="shared" si="7"/>
        <v>27.835820895522385</v>
      </c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</row>
    <row r="202" spans="1:21" ht="14.75" customHeight="1" x14ac:dyDescent="0.2">
      <c r="A202" s="65">
        <v>19</v>
      </c>
      <c r="B202" s="61">
        <v>33</v>
      </c>
      <c r="C202" s="66">
        <v>19.41</v>
      </c>
      <c r="D202" s="66">
        <v>0.59</v>
      </c>
      <c r="E202" s="67">
        <f t="shared" si="6"/>
        <v>11.4519</v>
      </c>
      <c r="F202" s="63">
        <f t="shared" si="7"/>
        <v>32.898305084745765</v>
      </c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</row>
    <row r="203" spans="1:21" ht="14.75" customHeight="1" x14ac:dyDescent="0.2">
      <c r="A203" s="65">
        <v>20</v>
      </c>
      <c r="B203" s="61">
        <v>40</v>
      </c>
      <c r="C203" s="66">
        <v>19.850000000000001</v>
      </c>
      <c r="D203" s="66">
        <v>0.5</v>
      </c>
      <c r="E203" s="67">
        <f t="shared" si="6"/>
        <v>9.9250000000000007</v>
      </c>
      <c r="F203" s="63">
        <f t="shared" si="7"/>
        <v>39.700000000000003</v>
      </c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</row>
    <row r="204" spans="1:21" ht="14.75" customHeight="1" x14ac:dyDescent="0.2">
      <c r="A204" s="65">
        <v>21</v>
      </c>
      <c r="B204" s="61">
        <v>50</v>
      </c>
      <c r="C204" s="66">
        <v>20.350000000000001</v>
      </c>
      <c r="D204" s="66">
        <v>0.41</v>
      </c>
      <c r="E204" s="67">
        <f t="shared" si="6"/>
        <v>8.3435000000000006</v>
      </c>
      <c r="F204" s="63">
        <f t="shared" si="7"/>
        <v>49.634146341463421</v>
      </c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</row>
    <row r="205" spans="1:21" ht="14.75" customHeight="1" x14ac:dyDescent="0.2">
      <c r="A205" s="65">
        <v>22</v>
      </c>
      <c r="B205" s="61">
        <v>70</v>
      </c>
      <c r="C205" s="66">
        <v>20.71</v>
      </c>
      <c r="D205" s="66">
        <v>0.3</v>
      </c>
      <c r="E205" s="67">
        <f t="shared" si="6"/>
        <v>6.2130000000000001</v>
      </c>
      <c r="F205" s="63">
        <f t="shared" si="7"/>
        <v>69.033333333333346</v>
      </c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</row>
    <row r="206" spans="1:21" ht="14.75" customHeight="1" x14ac:dyDescent="0.2">
      <c r="A206" s="65">
        <v>23</v>
      </c>
      <c r="B206" s="61">
        <v>110</v>
      </c>
      <c r="C206" s="66">
        <v>20.99</v>
      </c>
      <c r="D206" s="66">
        <v>0.19</v>
      </c>
      <c r="E206" s="67">
        <f t="shared" si="6"/>
        <v>3.9880999999999998</v>
      </c>
      <c r="F206" s="63">
        <f t="shared" si="7"/>
        <v>110.4736842105263</v>
      </c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</row>
    <row r="207" spans="1:21" ht="14.75" customHeight="1" x14ac:dyDescent="0.2">
      <c r="A207" s="65">
        <v>24</v>
      </c>
      <c r="B207" s="61">
        <v>200</v>
      </c>
      <c r="C207" s="66">
        <v>21.19</v>
      </c>
      <c r="D207" s="66">
        <v>0.11</v>
      </c>
      <c r="E207" s="67">
        <f t="shared" si="6"/>
        <v>2.3309000000000002</v>
      </c>
      <c r="F207" s="63">
        <f t="shared" si="7"/>
        <v>192.63636363636365</v>
      </c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</row>
    <row r="208" spans="1:21" ht="14.75" customHeight="1" x14ac:dyDescent="0.2">
      <c r="A208" s="65">
        <v>25</v>
      </c>
      <c r="B208" s="61">
        <v>400</v>
      </c>
      <c r="C208" s="66">
        <v>21.3</v>
      </c>
      <c r="D208" s="66">
        <v>0.05</v>
      </c>
      <c r="E208" s="67">
        <f t="shared" si="6"/>
        <v>1.0650000000000002</v>
      </c>
      <c r="F208" s="63">
        <f t="shared" si="7"/>
        <v>426</v>
      </c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</row>
    <row r="209" spans="1:21" ht="14.75" customHeight="1" x14ac:dyDescent="0.2">
      <c r="A209" s="65">
        <v>26</v>
      </c>
      <c r="B209" s="61" t="s">
        <v>54</v>
      </c>
      <c r="C209" s="66">
        <v>21.41</v>
      </c>
      <c r="D209" s="66">
        <v>0</v>
      </c>
      <c r="E209" s="67">
        <f t="shared" si="6"/>
        <v>0</v>
      </c>
      <c r="F209" s="63" t="str">
        <f t="shared" si="7"/>
        <v>-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</row>
    <row r="210" spans="1:21" ht="14.7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</row>
    <row r="211" spans="1:21" ht="14.75" customHeight="1" x14ac:dyDescent="0.2">
      <c r="A211" s="81" t="s">
        <v>55</v>
      </c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36"/>
      <c r="Q211" s="36"/>
      <c r="R211" s="36"/>
      <c r="S211" s="36"/>
      <c r="T211" s="36"/>
      <c r="U211" s="36"/>
    </row>
    <row r="212" spans="1:21" ht="14.7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</row>
    <row r="213" spans="1:21" ht="14.7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</row>
    <row r="214" spans="1:21" ht="14.7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</row>
    <row r="215" spans="1:21" ht="83" customHeight="1" x14ac:dyDescent="0.2">
      <c r="A215" s="20" t="s">
        <v>0</v>
      </c>
      <c r="B215" s="74">
        <v>46274</v>
      </c>
      <c r="C215" s="36"/>
      <c r="D215" s="20" t="s">
        <v>1</v>
      </c>
      <c r="E215" s="75">
        <v>0.66666666666666663</v>
      </c>
      <c r="F215" s="36"/>
      <c r="G215" s="36"/>
      <c r="H215" s="23" t="s">
        <v>2</v>
      </c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</row>
    <row r="216" spans="1:21" ht="14.7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</row>
    <row r="217" spans="1:21" ht="14.75" customHeight="1" x14ac:dyDescent="0.2">
      <c r="A217" s="78" t="s">
        <v>3</v>
      </c>
      <c r="B217" s="80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</row>
    <row r="218" spans="1:21" ht="43.25" customHeight="1" x14ac:dyDescent="0.2">
      <c r="A218" s="56" t="s">
        <v>4</v>
      </c>
      <c r="B218" s="82" t="s">
        <v>56</v>
      </c>
      <c r="C218" s="83"/>
      <c r="D218" s="84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</row>
    <row r="219" spans="1:21" ht="43.25" customHeight="1" x14ac:dyDescent="0.2">
      <c r="A219" s="56" t="s">
        <v>5</v>
      </c>
      <c r="B219" s="82" t="s">
        <v>61</v>
      </c>
      <c r="C219" s="83"/>
      <c r="D219" s="84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</row>
    <row r="220" spans="1:21" ht="43.25" customHeight="1" x14ac:dyDescent="0.2">
      <c r="A220" s="56" t="s">
        <v>7</v>
      </c>
      <c r="B220" s="82" t="s">
        <v>8</v>
      </c>
      <c r="C220" s="83"/>
      <c r="D220" s="84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</row>
    <row r="221" spans="1:21" ht="43.25" customHeight="1" x14ac:dyDescent="0.2">
      <c r="A221" s="56" t="s">
        <v>9</v>
      </c>
      <c r="B221" s="82" t="s">
        <v>62</v>
      </c>
      <c r="C221" s="83"/>
      <c r="D221" s="84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</row>
    <row r="222" spans="1:21" ht="14.7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</row>
    <row r="223" spans="1:21" ht="14.75" customHeight="1" x14ac:dyDescent="0.2">
      <c r="A223" s="78" t="s">
        <v>11</v>
      </c>
      <c r="B223" s="79"/>
      <c r="C223" s="79"/>
      <c r="D223" s="80"/>
      <c r="E223" s="36"/>
      <c r="F223" s="36"/>
      <c r="G223" s="36"/>
      <c r="H223" s="36"/>
      <c r="I223" s="78" t="s">
        <v>12</v>
      </c>
      <c r="J223" s="79"/>
      <c r="K223" s="79"/>
      <c r="L223" s="80"/>
      <c r="M223" s="36"/>
      <c r="N223" s="36"/>
      <c r="O223" s="36"/>
      <c r="P223" s="36"/>
      <c r="Q223" s="36"/>
      <c r="R223" s="36"/>
      <c r="S223" s="36"/>
      <c r="T223" s="36"/>
      <c r="U223" s="36"/>
    </row>
    <row r="224" spans="1:21" ht="14.75" customHeight="1" x14ac:dyDescent="0.2">
      <c r="A224" s="57" t="s">
        <v>13</v>
      </c>
      <c r="B224" s="58" t="s">
        <v>14</v>
      </c>
      <c r="C224" s="58" t="s">
        <v>15</v>
      </c>
      <c r="D224" s="58" t="s">
        <v>16</v>
      </c>
      <c r="E224" s="36"/>
      <c r="F224" s="25" t="s">
        <v>17</v>
      </c>
      <c r="G224" s="59" t="s">
        <v>18</v>
      </c>
      <c r="H224" s="36"/>
      <c r="I224" s="57" t="s">
        <v>13</v>
      </c>
      <c r="J224" s="58" t="s">
        <v>14</v>
      </c>
      <c r="K224" s="58" t="s">
        <v>15</v>
      </c>
      <c r="L224" s="58" t="s">
        <v>16</v>
      </c>
      <c r="M224" s="36"/>
      <c r="N224" s="25" t="s">
        <v>17</v>
      </c>
      <c r="O224" s="59" t="s">
        <v>18</v>
      </c>
      <c r="P224" s="36"/>
      <c r="Q224" s="36"/>
      <c r="R224" s="36"/>
      <c r="S224" s="36"/>
      <c r="T224" s="36"/>
      <c r="U224" s="36"/>
    </row>
    <row r="225" spans="1:21" ht="14.75" customHeight="1" x14ac:dyDescent="0.2">
      <c r="A225" s="60" t="s">
        <v>19</v>
      </c>
      <c r="B225" s="61">
        <v>44.1</v>
      </c>
      <c r="C225" s="61">
        <v>46.6</v>
      </c>
      <c r="D225" s="61">
        <v>47.1</v>
      </c>
      <c r="E225" s="36"/>
      <c r="F225" s="62" t="s">
        <v>20</v>
      </c>
      <c r="G225" s="63">
        <f>IFERROR(AVERAGE(B225:D227),"-")</f>
        <v>48.655555555555551</v>
      </c>
      <c r="H225" s="36"/>
      <c r="I225" s="60" t="s">
        <v>19</v>
      </c>
      <c r="J225" s="61">
        <v>577.70000000000005</v>
      </c>
      <c r="K225" s="61">
        <v>730.6</v>
      </c>
      <c r="L225" s="61">
        <v>636.1</v>
      </c>
      <c r="M225" s="36"/>
      <c r="N225" s="62" t="s">
        <v>20</v>
      </c>
      <c r="O225" s="63">
        <f>IFERROR(AVERAGE(J225:L227),"-")</f>
        <v>644.20000000000005</v>
      </c>
      <c r="P225" s="36"/>
      <c r="Q225" s="36"/>
      <c r="R225" s="36"/>
      <c r="S225" s="36"/>
      <c r="T225" s="36"/>
      <c r="U225" s="36"/>
    </row>
    <row r="226" spans="1:21" ht="14.75" customHeight="1" x14ac:dyDescent="0.2">
      <c r="A226" s="60" t="s">
        <v>21</v>
      </c>
      <c r="B226" s="64">
        <v>43.7</v>
      </c>
      <c r="C226" s="64">
        <v>49.2</v>
      </c>
      <c r="D226" s="64">
        <v>50.5</v>
      </c>
      <c r="E226" s="36"/>
      <c r="F226" s="62" t="s">
        <v>22</v>
      </c>
      <c r="G226" s="63">
        <f>IFERROR(MIN(B225:D227),"-")</f>
        <v>43.7</v>
      </c>
      <c r="H226" s="36"/>
      <c r="I226" s="60" t="s">
        <v>21</v>
      </c>
      <c r="J226" s="64">
        <v>618.5</v>
      </c>
      <c r="K226" s="64">
        <v>738.1</v>
      </c>
      <c r="L226" s="64">
        <v>653.29999999999995</v>
      </c>
      <c r="M226" s="36"/>
      <c r="N226" s="62" t="s">
        <v>22</v>
      </c>
      <c r="O226" s="63">
        <f>IFERROR(MIN(J225:L227),"-")</f>
        <v>570.70000000000005</v>
      </c>
      <c r="P226" s="36"/>
      <c r="Q226" s="36"/>
      <c r="R226" s="36"/>
      <c r="S226" s="36"/>
      <c r="T226" s="36"/>
      <c r="U226" s="36"/>
    </row>
    <row r="227" spans="1:21" ht="14.75" customHeight="1" x14ac:dyDescent="0.2">
      <c r="A227" s="60" t="s">
        <v>23</v>
      </c>
      <c r="B227" s="64">
        <v>51.5</v>
      </c>
      <c r="C227" s="64">
        <v>53.8</v>
      </c>
      <c r="D227" s="64">
        <v>51.4</v>
      </c>
      <c r="E227" s="36"/>
      <c r="F227" s="62" t="s">
        <v>24</v>
      </c>
      <c r="G227" s="63">
        <f>IFERROR(MAX(B225:D227),"-")</f>
        <v>53.8</v>
      </c>
      <c r="H227" s="36"/>
      <c r="I227" s="60" t="s">
        <v>23</v>
      </c>
      <c r="J227" s="64">
        <v>583.20000000000005</v>
      </c>
      <c r="K227" s="64">
        <v>689.6</v>
      </c>
      <c r="L227" s="64">
        <v>570.70000000000005</v>
      </c>
      <c r="M227" s="36"/>
      <c r="N227" s="62" t="s">
        <v>24</v>
      </c>
      <c r="O227" s="63">
        <f>IFERROR(MAX(J225:L227),"-")</f>
        <v>738.1</v>
      </c>
      <c r="P227" s="36"/>
      <c r="Q227" s="36"/>
      <c r="R227" s="36"/>
      <c r="S227" s="36"/>
      <c r="T227" s="36"/>
      <c r="U227" s="36"/>
    </row>
    <row r="228" spans="1:21" ht="14.75" customHeight="1" x14ac:dyDescent="0.2">
      <c r="A228" s="36"/>
      <c r="B228" s="36"/>
      <c r="C228" s="36"/>
      <c r="D228" s="36"/>
      <c r="E228" s="36"/>
      <c r="F228" s="62" t="s">
        <v>25</v>
      </c>
      <c r="G228" s="63">
        <f>IFERROR(G227-G226,"-")</f>
        <v>10.099999999999994</v>
      </c>
      <c r="H228" s="36"/>
      <c r="I228" s="36"/>
      <c r="J228" s="36"/>
      <c r="K228" s="36"/>
      <c r="L228" s="36"/>
      <c r="M228" s="36"/>
      <c r="N228" s="62" t="s">
        <v>25</v>
      </c>
      <c r="O228" s="63">
        <f>IFERROR(O227-O226,"-")</f>
        <v>167.39999999999998</v>
      </c>
      <c r="P228" s="36"/>
      <c r="Q228" s="36"/>
      <c r="R228" s="36"/>
      <c r="S228" s="36"/>
      <c r="T228" s="36"/>
      <c r="U228" s="36"/>
    </row>
    <row r="229" spans="1:21" ht="14.75" customHeight="1" x14ac:dyDescent="0.2">
      <c r="A229" s="36"/>
      <c r="B229" s="36"/>
      <c r="C229" s="36"/>
      <c r="D229" s="36"/>
      <c r="E229" s="36"/>
      <c r="F229" s="62" t="s">
        <v>26</v>
      </c>
      <c r="G229" s="63">
        <f>IFERROR(STDEV(B225:D227),"-")</f>
        <v>3.4953937943782196</v>
      </c>
      <c r="H229" s="36"/>
      <c r="I229" s="36"/>
      <c r="J229" s="36"/>
      <c r="K229" s="36"/>
      <c r="L229" s="36"/>
      <c r="M229" s="36"/>
      <c r="N229" s="62" t="s">
        <v>26</v>
      </c>
      <c r="O229" s="63">
        <f>IFERROR(STDEV(J225:L227),"-")</f>
        <v>63.931349899716643</v>
      </c>
      <c r="P229" s="36"/>
      <c r="Q229" s="36"/>
      <c r="R229" s="36"/>
      <c r="S229" s="36"/>
      <c r="T229" s="36"/>
      <c r="U229" s="36"/>
    </row>
    <row r="230" spans="1:21" ht="14.7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62" t="s">
        <v>27</v>
      </c>
      <c r="O230" s="63">
        <f>IFERROR((1-((O227-O226)/(2*O225)))*100,"-")</f>
        <v>87.007140639552944</v>
      </c>
      <c r="P230" s="36"/>
      <c r="Q230" s="36"/>
      <c r="R230" s="36"/>
      <c r="S230" s="36"/>
      <c r="T230" s="36"/>
      <c r="U230" s="36"/>
    </row>
    <row r="231" spans="1:21" ht="14.7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</row>
    <row r="232" spans="1:21" ht="14.75" customHeight="1" x14ac:dyDescent="0.2">
      <c r="A232" s="78" t="s">
        <v>28</v>
      </c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80"/>
      <c r="P232" s="36"/>
      <c r="Q232" s="36"/>
      <c r="R232" s="36"/>
      <c r="S232" s="36"/>
      <c r="T232" s="36"/>
      <c r="U232" s="36"/>
    </row>
    <row r="233" spans="1:21" ht="14.75" customHeight="1" x14ac:dyDescent="0.2">
      <c r="A233" s="62" t="s">
        <v>29</v>
      </c>
      <c r="B233" s="61"/>
      <c r="C233" s="36"/>
      <c r="D233" s="62" t="s">
        <v>30</v>
      </c>
      <c r="E233" s="61"/>
      <c r="F233" s="36"/>
      <c r="G233" s="62" t="s">
        <v>31</v>
      </c>
      <c r="H233" s="61"/>
      <c r="I233" s="36"/>
      <c r="J233" s="36"/>
      <c r="K233" s="62" t="s">
        <v>33</v>
      </c>
      <c r="L233" s="61"/>
      <c r="M233" s="36"/>
      <c r="N233" s="36"/>
      <c r="O233" s="36"/>
      <c r="P233" s="36"/>
      <c r="Q233" s="36"/>
      <c r="R233" s="36"/>
      <c r="S233" s="36"/>
      <c r="T233" s="36"/>
      <c r="U233" s="36"/>
    </row>
    <row r="234" spans="1:21" ht="14.7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</row>
    <row r="235" spans="1:21" ht="14.75" customHeight="1" x14ac:dyDescent="0.2">
      <c r="A235" s="78" t="s">
        <v>35</v>
      </c>
      <c r="B235" s="79"/>
      <c r="C235" s="79"/>
      <c r="D235" s="79"/>
      <c r="E235" s="79"/>
      <c r="F235" s="80"/>
      <c r="G235" s="36"/>
      <c r="H235" s="78" t="s">
        <v>36</v>
      </c>
      <c r="I235" s="8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</row>
    <row r="236" spans="1:21" ht="29" customHeight="1" x14ac:dyDescent="0.2">
      <c r="A236" s="57" t="s">
        <v>37</v>
      </c>
      <c r="B236" s="58" t="s">
        <v>38</v>
      </c>
      <c r="C236" s="58" t="s">
        <v>39</v>
      </c>
      <c r="D236" s="58" t="s">
        <v>40</v>
      </c>
      <c r="E236" s="58" t="s">
        <v>41</v>
      </c>
      <c r="F236" s="58" t="s">
        <v>42</v>
      </c>
      <c r="G236" s="36"/>
      <c r="H236" s="36"/>
      <c r="I236" s="36"/>
      <c r="J236" s="36"/>
      <c r="K236" s="49" t="s">
        <v>43</v>
      </c>
      <c r="L236" s="49" t="s">
        <v>44</v>
      </c>
      <c r="M236" s="36"/>
      <c r="N236" s="36"/>
      <c r="O236" s="36"/>
      <c r="P236" s="36"/>
      <c r="Q236" s="36"/>
      <c r="R236" s="36"/>
      <c r="S236" s="36"/>
      <c r="T236" s="36"/>
      <c r="U236" s="36"/>
    </row>
    <row r="237" spans="1:21" ht="14.75" customHeight="1" x14ac:dyDescent="0.2">
      <c r="A237" s="65">
        <v>1</v>
      </c>
      <c r="B237" s="61">
        <v>2</v>
      </c>
      <c r="C237" s="66">
        <v>2.84</v>
      </c>
      <c r="D237" s="66">
        <v>1.4</v>
      </c>
      <c r="E237" s="67">
        <f t="shared" ref="E237:E262" si="8">IF(OR(C237="",D237=""),"-",C237*D237)</f>
        <v>3.9759999999999995</v>
      </c>
      <c r="F237" s="63">
        <f t="shared" ref="F237:F262" si="9">IFERROR(C237/D237,"-")</f>
        <v>2.0285714285714285</v>
      </c>
      <c r="G237" s="36"/>
      <c r="H237" s="24" t="s">
        <v>45</v>
      </c>
      <c r="I237" s="68">
        <f>IFERROR(INDEX(C237:C262,MATCH("open",B237:B262,0)),"-")</f>
        <v>21.5</v>
      </c>
      <c r="J237" s="36"/>
      <c r="K237" s="69">
        <f>IF(ISNUMBER(I238),0,NA())</f>
        <v>0</v>
      </c>
      <c r="L237" s="70">
        <f>IF(ISNUMBER(I238),MIN(I238,$L$22),NA())</f>
        <v>1.4</v>
      </c>
      <c r="M237" s="36"/>
      <c r="N237" s="36"/>
      <c r="O237" s="36"/>
      <c r="P237" s="36"/>
      <c r="Q237" s="36"/>
      <c r="R237" s="36"/>
      <c r="S237" s="36"/>
      <c r="T237" s="36"/>
      <c r="U237" s="36"/>
    </row>
    <row r="238" spans="1:21" ht="29" customHeight="1" x14ac:dyDescent="0.2">
      <c r="A238" s="65">
        <v>2</v>
      </c>
      <c r="B238" s="61">
        <v>3</v>
      </c>
      <c r="C238" s="66">
        <v>4.2300000000000004</v>
      </c>
      <c r="D238" s="66">
        <v>1.4</v>
      </c>
      <c r="E238" s="67">
        <f t="shared" si="8"/>
        <v>5.9220000000000006</v>
      </c>
      <c r="F238" s="63">
        <f t="shared" si="9"/>
        <v>3.0214285714285718</v>
      </c>
      <c r="G238" s="36"/>
      <c r="H238" s="56" t="s">
        <v>46</v>
      </c>
      <c r="I238" s="71">
        <f>IFERROR(D237-C237*(D238-D237)/(C238-C237),"-")</f>
        <v>1.4</v>
      </c>
      <c r="J238" s="36"/>
      <c r="K238" s="69">
        <f>IF(ISNUMBER(C237),C237,NA())</f>
        <v>2.84</v>
      </c>
      <c r="L238" s="70">
        <f>IF(ISNUMBER(D237),D237,NA())</f>
        <v>1.4</v>
      </c>
      <c r="M238" s="36"/>
      <c r="N238" s="36"/>
      <c r="O238" s="36"/>
      <c r="P238" s="36"/>
      <c r="Q238" s="36"/>
      <c r="R238" s="36"/>
      <c r="S238" s="36"/>
      <c r="T238" s="36"/>
      <c r="U238" s="36"/>
    </row>
    <row r="239" spans="1:21" ht="14.75" customHeight="1" x14ac:dyDescent="0.2">
      <c r="A239" s="65">
        <v>3</v>
      </c>
      <c r="B239" s="61">
        <v>4</v>
      </c>
      <c r="C239" s="66">
        <v>5.6</v>
      </c>
      <c r="D239" s="66">
        <v>1.39</v>
      </c>
      <c r="E239" s="67">
        <f t="shared" si="8"/>
        <v>7.7839999999999989</v>
      </c>
      <c r="F239" s="63">
        <f t="shared" si="9"/>
        <v>4.028776978417266</v>
      </c>
      <c r="G239" s="36"/>
      <c r="H239" s="56" t="s">
        <v>47</v>
      </c>
      <c r="I239" s="71">
        <f>IFERROR(MAX(E237:E262),"-")</f>
        <v>24.784800000000001</v>
      </c>
      <c r="J239" s="36"/>
      <c r="K239" s="36" t="s">
        <v>48</v>
      </c>
      <c r="L239" s="36" t="str">
        <f>IF(NOT(ISNUMBER(I238)),"",IF(I238&gt;$L$22,"Yes","No"))</f>
        <v>Yes</v>
      </c>
      <c r="M239" s="36"/>
      <c r="N239" s="36"/>
      <c r="O239" s="36"/>
      <c r="P239" s="36"/>
      <c r="Q239" s="36"/>
      <c r="R239" s="36"/>
      <c r="S239" s="36"/>
      <c r="T239" s="36"/>
      <c r="U239" s="36"/>
    </row>
    <row r="240" spans="1:21" ht="14.75" customHeight="1" x14ac:dyDescent="0.2">
      <c r="A240" s="65">
        <v>4</v>
      </c>
      <c r="B240" s="61">
        <v>5</v>
      </c>
      <c r="C240" s="66">
        <v>6.94</v>
      </c>
      <c r="D240" s="66">
        <v>1.39</v>
      </c>
      <c r="E240" s="67">
        <f t="shared" si="8"/>
        <v>9.6465999999999994</v>
      </c>
      <c r="F240" s="63">
        <f t="shared" si="9"/>
        <v>4.9928057553956844</v>
      </c>
      <c r="G240" s="36"/>
      <c r="H240" s="56" t="s">
        <v>49</v>
      </c>
      <c r="I240" s="67">
        <f>IFERROR(INDEX(C237:C262,MATCH(I239,E237:E262,0)),"-")</f>
        <v>17.96</v>
      </c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</row>
    <row r="241" spans="1:21" ht="14.75" customHeight="1" x14ac:dyDescent="0.2">
      <c r="A241" s="65">
        <v>5</v>
      </c>
      <c r="B241" s="61">
        <v>6</v>
      </c>
      <c r="C241" s="66">
        <v>8.25</v>
      </c>
      <c r="D241" s="66">
        <v>1.38</v>
      </c>
      <c r="E241" s="67">
        <f t="shared" si="8"/>
        <v>11.385</v>
      </c>
      <c r="F241" s="63">
        <f t="shared" si="9"/>
        <v>5.9782608695652177</v>
      </c>
      <c r="G241" s="36"/>
      <c r="H241" s="56" t="s">
        <v>50</v>
      </c>
      <c r="I241" s="67">
        <f>IFERROR(INDEX(D237:D262,MATCH(I239,E237:E262,0)),"-")</f>
        <v>1.38</v>
      </c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</row>
    <row r="242" spans="1:21" ht="14.75" customHeight="1" x14ac:dyDescent="0.2">
      <c r="A242" s="65">
        <v>6</v>
      </c>
      <c r="B242" s="61">
        <v>7</v>
      </c>
      <c r="C242" s="66">
        <v>9.5500000000000007</v>
      </c>
      <c r="D242" s="66">
        <v>1.36</v>
      </c>
      <c r="E242" s="67">
        <f t="shared" si="8"/>
        <v>12.988000000000001</v>
      </c>
      <c r="F242" s="63">
        <f t="shared" si="9"/>
        <v>7.0220588235294121</v>
      </c>
      <c r="G242" s="36"/>
      <c r="H242" s="56" t="s">
        <v>51</v>
      </c>
      <c r="I242" s="72">
        <f>IFERROR(I240/I241,"-")</f>
        <v>13.014492753623189</v>
      </c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</row>
    <row r="243" spans="1:21" ht="14.75" customHeight="1" x14ac:dyDescent="0.2">
      <c r="A243" s="65">
        <v>7</v>
      </c>
      <c r="B243" s="61">
        <v>8</v>
      </c>
      <c r="C243" s="66">
        <v>10.91</v>
      </c>
      <c r="D243" s="66">
        <v>1.36</v>
      </c>
      <c r="E243" s="67">
        <f t="shared" si="8"/>
        <v>14.837600000000002</v>
      </c>
      <c r="F243" s="63">
        <f t="shared" si="9"/>
        <v>8.0220588235294112</v>
      </c>
      <c r="G243" s="36"/>
      <c r="H243" s="56" t="s">
        <v>52</v>
      </c>
      <c r="I243" s="72">
        <f>IFERROR(I239/(I237*I238),"-")</f>
        <v>0.82341528239202666</v>
      </c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</row>
    <row r="244" spans="1:21" ht="29" customHeight="1" x14ac:dyDescent="0.2">
      <c r="A244" s="65">
        <v>8</v>
      </c>
      <c r="B244" s="61">
        <v>9</v>
      </c>
      <c r="C244" s="66">
        <v>12.26</v>
      </c>
      <c r="D244" s="66">
        <v>1.36</v>
      </c>
      <c r="E244" s="67">
        <f t="shared" si="8"/>
        <v>16.6736</v>
      </c>
      <c r="F244" s="63">
        <f t="shared" si="9"/>
        <v>9.0147058823529402</v>
      </c>
      <c r="G244" s="36"/>
      <c r="H244" s="56" t="s">
        <v>53</v>
      </c>
      <c r="I244" s="73">
        <f>COUNT(D237:D262)</f>
        <v>26</v>
      </c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</row>
    <row r="245" spans="1:21" ht="14.75" customHeight="1" x14ac:dyDescent="0.2">
      <c r="A245" s="65">
        <v>9</v>
      </c>
      <c r="B245" s="61">
        <v>10</v>
      </c>
      <c r="C245" s="66">
        <v>13.61</v>
      </c>
      <c r="D245" s="66">
        <v>1.36</v>
      </c>
      <c r="E245" s="67">
        <f t="shared" si="8"/>
        <v>18.509599999999999</v>
      </c>
      <c r="F245" s="63">
        <f t="shared" si="9"/>
        <v>10.007352941176469</v>
      </c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</row>
    <row r="246" spans="1:21" ht="14.75" customHeight="1" x14ac:dyDescent="0.2">
      <c r="A246" s="65">
        <v>10</v>
      </c>
      <c r="B246" s="61">
        <v>11</v>
      </c>
      <c r="C246" s="66">
        <v>14.19</v>
      </c>
      <c r="D246" s="66">
        <v>1.36</v>
      </c>
      <c r="E246" s="67">
        <f t="shared" si="8"/>
        <v>19.298400000000001</v>
      </c>
      <c r="F246" s="63">
        <f t="shared" si="9"/>
        <v>10.433823529411763</v>
      </c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</row>
    <row r="247" spans="1:21" ht="14.75" customHeight="1" x14ac:dyDescent="0.2">
      <c r="A247" s="65">
        <v>11</v>
      </c>
      <c r="B247" s="61">
        <v>12</v>
      </c>
      <c r="C247" s="66">
        <v>16.45</v>
      </c>
      <c r="D247" s="66">
        <v>1.37</v>
      </c>
      <c r="E247" s="67">
        <f t="shared" si="8"/>
        <v>22.5365</v>
      </c>
      <c r="F247" s="63">
        <f t="shared" si="9"/>
        <v>12.007299270072991</v>
      </c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</row>
    <row r="248" spans="1:21" ht="14.75" customHeight="1" x14ac:dyDescent="0.2">
      <c r="A248" s="65">
        <v>12</v>
      </c>
      <c r="B248" s="61">
        <v>13</v>
      </c>
      <c r="C248" s="66">
        <v>17.96</v>
      </c>
      <c r="D248" s="66">
        <v>1.38</v>
      </c>
      <c r="E248" s="67">
        <f t="shared" si="8"/>
        <v>24.784800000000001</v>
      </c>
      <c r="F248" s="63">
        <f t="shared" si="9"/>
        <v>13.014492753623189</v>
      </c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</row>
    <row r="249" spans="1:21" ht="14.75" customHeight="1" x14ac:dyDescent="0.2">
      <c r="A249" s="65">
        <v>13</v>
      </c>
      <c r="B249" s="61">
        <v>14</v>
      </c>
      <c r="C249" s="66">
        <v>18.57</v>
      </c>
      <c r="D249" s="66">
        <v>1.33</v>
      </c>
      <c r="E249" s="67">
        <f t="shared" si="8"/>
        <v>24.6981</v>
      </c>
      <c r="F249" s="63">
        <f t="shared" si="9"/>
        <v>13.962406015037594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</row>
    <row r="250" spans="1:21" ht="14.75" customHeight="1" x14ac:dyDescent="0.2">
      <c r="A250" s="65">
        <v>14</v>
      </c>
      <c r="B250" s="61">
        <v>16</v>
      </c>
      <c r="C250" s="66">
        <v>19.18</v>
      </c>
      <c r="D250" s="66">
        <v>1.2</v>
      </c>
      <c r="E250" s="67">
        <f t="shared" si="8"/>
        <v>23.015999999999998</v>
      </c>
      <c r="F250" s="63">
        <f t="shared" si="9"/>
        <v>15.983333333333334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</row>
    <row r="251" spans="1:21" ht="14.75" customHeight="1" x14ac:dyDescent="0.2">
      <c r="A251" s="65">
        <v>15</v>
      </c>
      <c r="B251" s="61">
        <v>18</v>
      </c>
      <c r="C251" s="66">
        <v>19.559999999999999</v>
      </c>
      <c r="D251" s="66">
        <v>1.0900000000000001</v>
      </c>
      <c r="E251" s="67">
        <f t="shared" si="8"/>
        <v>21.320399999999999</v>
      </c>
      <c r="F251" s="63">
        <f t="shared" si="9"/>
        <v>17.944954128440365</v>
      </c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</row>
    <row r="252" spans="1:21" ht="14.75" customHeight="1" x14ac:dyDescent="0.2">
      <c r="A252" s="65">
        <v>16</v>
      </c>
      <c r="B252" s="61">
        <v>20</v>
      </c>
      <c r="C252" s="66">
        <v>19.82</v>
      </c>
      <c r="D252" s="66">
        <v>0.99</v>
      </c>
      <c r="E252" s="67">
        <f t="shared" si="8"/>
        <v>19.6218</v>
      </c>
      <c r="F252" s="63">
        <f t="shared" si="9"/>
        <v>20.020202020202021</v>
      </c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</row>
    <row r="253" spans="1:21" ht="14.75" customHeight="1" x14ac:dyDescent="0.2">
      <c r="A253" s="65">
        <v>17</v>
      </c>
      <c r="B253" s="61">
        <v>24</v>
      </c>
      <c r="C253" s="66">
        <v>20.170000000000002</v>
      </c>
      <c r="D253" s="66">
        <v>0.84</v>
      </c>
      <c r="E253" s="67">
        <f t="shared" si="8"/>
        <v>16.942800000000002</v>
      </c>
      <c r="F253" s="63">
        <f t="shared" si="9"/>
        <v>24.011904761904766</v>
      </c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</row>
    <row r="254" spans="1:21" ht="14.75" customHeight="1" x14ac:dyDescent="0.2">
      <c r="A254" s="65">
        <v>18</v>
      </c>
      <c r="B254" s="61">
        <v>28</v>
      </c>
      <c r="C254" s="66">
        <v>20.39</v>
      </c>
      <c r="D254" s="66">
        <v>0.73</v>
      </c>
      <c r="E254" s="67">
        <f t="shared" si="8"/>
        <v>14.8847</v>
      </c>
      <c r="F254" s="63">
        <f t="shared" si="9"/>
        <v>27.93150684931507</v>
      </c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</row>
    <row r="255" spans="1:21" ht="14.75" customHeight="1" x14ac:dyDescent="0.2">
      <c r="A255" s="65">
        <v>19</v>
      </c>
      <c r="B255" s="61">
        <v>33</v>
      </c>
      <c r="C255" s="66">
        <v>20.58</v>
      </c>
      <c r="D255" s="66">
        <v>0.62</v>
      </c>
      <c r="E255" s="67">
        <f t="shared" si="8"/>
        <v>12.759599999999999</v>
      </c>
      <c r="F255" s="63">
        <f t="shared" si="9"/>
        <v>33.193548387096769</v>
      </c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</row>
    <row r="256" spans="1:21" ht="14.75" customHeight="1" x14ac:dyDescent="0.2">
      <c r="A256" s="65">
        <v>20</v>
      </c>
      <c r="B256" s="61">
        <v>40</v>
      </c>
      <c r="C256" s="66">
        <v>20.76</v>
      </c>
      <c r="D256" s="66">
        <v>0.52</v>
      </c>
      <c r="E256" s="67">
        <f t="shared" si="8"/>
        <v>10.795200000000001</v>
      </c>
      <c r="F256" s="63">
        <f t="shared" si="9"/>
        <v>39.923076923076927</v>
      </c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</row>
    <row r="257" spans="1:21" ht="14.75" customHeight="1" x14ac:dyDescent="0.2">
      <c r="A257" s="65">
        <v>21</v>
      </c>
      <c r="B257" s="61">
        <v>50</v>
      </c>
      <c r="C257" s="66">
        <v>20.91</v>
      </c>
      <c r="D257" s="66">
        <v>0.42</v>
      </c>
      <c r="E257" s="67">
        <f t="shared" si="8"/>
        <v>8.7821999999999996</v>
      </c>
      <c r="F257" s="63">
        <f t="shared" si="9"/>
        <v>49.785714285714285</v>
      </c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</row>
    <row r="258" spans="1:21" ht="14.75" customHeight="1" x14ac:dyDescent="0.2">
      <c r="A258" s="65">
        <v>22</v>
      </c>
      <c r="B258" s="61">
        <v>70</v>
      </c>
      <c r="C258" s="66">
        <v>21.08</v>
      </c>
      <c r="D258" s="66">
        <v>0.3</v>
      </c>
      <c r="E258" s="67">
        <f t="shared" si="8"/>
        <v>6.323999999999999</v>
      </c>
      <c r="F258" s="63">
        <f t="shared" si="9"/>
        <v>70.266666666666666</v>
      </c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</row>
    <row r="259" spans="1:21" ht="14.75" customHeight="1" x14ac:dyDescent="0.2">
      <c r="A259" s="65">
        <v>23</v>
      </c>
      <c r="B259" s="61">
        <v>110</v>
      </c>
      <c r="C259" s="66">
        <v>21.23</v>
      </c>
      <c r="D259" s="66">
        <v>0.19</v>
      </c>
      <c r="E259" s="67">
        <f t="shared" si="8"/>
        <v>4.0337000000000005</v>
      </c>
      <c r="F259" s="63">
        <f t="shared" si="9"/>
        <v>111.73684210526316</v>
      </c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</row>
    <row r="260" spans="1:21" ht="14.75" customHeight="1" x14ac:dyDescent="0.2">
      <c r="A260" s="65">
        <v>24</v>
      </c>
      <c r="B260" s="61">
        <v>200</v>
      </c>
      <c r="C260" s="66">
        <v>21.35</v>
      </c>
      <c r="D260" s="66">
        <v>0.11</v>
      </c>
      <c r="E260" s="67">
        <f t="shared" si="8"/>
        <v>2.3485</v>
      </c>
      <c r="F260" s="63">
        <f t="shared" si="9"/>
        <v>194.09090909090909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</row>
    <row r="261" spans="1:21" ht="14.75" customHeight="1" x14ac:dyDescent="0.2">
      <c r="A261" s="65">
        <v>25</v>
      </c>
      <c r="B261" s="61">
        <v>400</v>
      </c>
      <c r="C261" s="66">
        <v>21.42</v>
      </c>
      <c r="D261" s="66">
        <v>0.05</v>
      </c>
      <c r="E261" s="67">
        <f t="shared" si="8"/>
        <v>1.0710000000000002</v>
      </c>
      <c r="F261" s="63">
        <f t="shared" si="9"/>
        <v>428.40000000000003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</row>
    <row r="262" spans="1:21" ht="14.75" customHeight="1" x14ac:dyDescent="0.2">
      <c r="A262" s="65">
        <v>26</v>
      </c>
      <c r="B262" s="61" t="s">
        <v>54</v>
      </c>
      <c r="C262" s="66">
        <v>21.5</v>
      </c>
      <c r="D262" s="66">
        <v>0</v>
      </c>
      <c r="E262" s="67">
        <f t="shared" si="8"/>
        <v>0</v>
      </c>
      <c r="F262" s="63" t="str">
        <f t="shared" si="9"/>
        <v>-</v>
      </c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</row>
    <row r="263" spans="1:21" ht="14.7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</row>
    <row r="264" spans="1:21" ht="14.75" customHeight="1" x14ac:dyDescent="0.2">
      <c r="A264" s="81" t="s">
        <v>55</v>
      </c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36"/>
      <c r="Q264" s="36"/>
      <c r="R264" s="36"/>
      <c r="S264" s="36"/>
      <c r="T264" s="36"/>
      <c r="U264" s="36"/>
    </row>
    <row r="265" spans="1:21" ht="14.7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</row>
    <row r="266" spans="1:21" ht="14.7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</row>
    <row r="267" spans="1:21" ht="14.7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</row>
    <row r="268" spans="1:21" ht="83" customHeight="1" x14ac:dyDescent="0.2">
      <c r="A268" s="20" t="s">
        <v>0</v>
      </c>
      <c r="B268" s="74">
        <v>46274</v>
      </c>
      <c r="C268" s="36"/>
      <c r="D268" s="20" t="s">
        <v>1</v>
      </c>
      <c r="E268" s="75">
        <v>0.67708333333333337</v>
      </c>
      <c r="F268" s="36"/>
      <c r="G268" s="36"/>
      <c r="H268" s="23" t="s">
        <v>2</v>
      </c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</row>
    <row r="269" spans="1:21" ht="14.7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</row>
    <row r="270" spans="1:21" ht="14.75" customHeight="1" x14ac:dyDescent="0.2">
      <c r="A270" s="78" t="s">
        <v>3</v>
      </c>
      <c r="B270" s="80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</row>
    <row r="271" spans="1:21" ht="43.25" customHeight="1" x14ac:dyDescent="0.2">
      <c r="A271" s="56" t="s">
        <v>4</v>
      </c>
      <c r="B271" s="82" t="s">
        <v>56</v>
      </c>
      <c r="C271" s="83"/>
      <c r="D271" s="84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</row>
    <row r="272" spans="1:21" ht="43.25" customHeight="1" x14ac:dyDescent="0.2">
      <c r="A272" s="56" t="s">
        <v>5</v>
      </c>
      <c r="B272" s="82" t="s">
        <v>61</v>
      </c>
      <c r="C272" s="83"/>
      <c r="D272" s="84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</row>
    <row r="273" spans="1:21" ht="43.25" customHeight="1" x14ac:dyDescent="0.2">
      <c r="A273" s="56" t="s">
        <v>7</v>
      </c>
      <c r="B273" s="82" t="s">
        <v>8</v>
      </c>
      <c r="C273" s="83"/>
      <c r="D273" s="84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</row>
    <row r="274" spans="1:21" ht="43.25" customHeight="1" x14ac:dyDescent="0.2">
      <c r="A274" s="56" t="s">
        <v>9</v>
      </c>
      <c r="B274" s="82" t="s">
        <v>63</v>
      </c>
      <c r="C274" s="83"/>
      <c r="D274" s="84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</row>
    <row r="275" spans="1:21" ht="14.7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</row>
    <row r="276" spans="1:21" ht="14.75" customHeight="1" x14ac:dyDescent="0.2">
      <c r="A276" s="78" t="s">
        <v>11</v>
      </c>
      <c r="B276" s="79"/>
      <c r="C276" s="79"/>
      <c r="D276" s="80"/>
      <c r="E276" s="36"/>
      <c r="F276" s="36"/>
      <c r="G276" s="36"/>
      <c r="H276" s="36"/>
      <c r="I276" s="78" t="s">
        <v>12</v>
      </c>
      <c r="J276" s="79"/>
      <c r="K276" s="79"/>
      <c r="L276" s="80"/>
      <c r="M276" s="36"/>
      <c r="N276" s="36"/>
      <c r="O276" s="36"/>
      <c r="P276" s="36"/>
      <c r="Q276" s="36"/>
      <c r="R276" s="36"/>
      <c r="S276" s="36"/>
      <c r="T276" s="36"/>
      <c r="U276" s="36"/>
    </row>
    <row r="277" spans="1:21" ht="14.75" customHeight="1" x14ac:dyDescent="0.2">
      <c r="A277" s="57" t="s">
        <v>13</v>
      </c>
      <c r="B277" s="58" t="s">
        <v>14</v>
      </c>
      <c r="C277" s="58" t="s">
        <v>15</v>
      </c>
      <c r="D277" s="58" t="s">
        <v>16</v>
      </c>
      <c r="E277" s="36"/>
      <c r="F277" s="25" t="s">
        <v>17</v>
      </c>
      <c r="G277" s="59" t="s">
        <v>18</v>
      </c>
      <c r="H277" s="36"/>
      <c r="I277" s="57" t="s">
        <v>13</v>
      </c>
      <c r="J277" s="58" t="s">
        <v>14</v>
      </c>
      <c r="K277" s="58" t="s">
        <v>15</v>
      </c>
      <c r="L277" s="58" t="s">
        <v>16</v>
      </c>
      <c r="M277" s="36"/>
      <c r="N277" s="25" t="s">
        <v>17</v>
      </c>
      <c r="O277" s="59" t="s">
        <v>18</v>
      </c>
      <c r="P277" s="36"/>
      <c r="Q277" s="36"/>
      <c r="R277" s="36"/>
      <c r="S277" s="36"/>
      <c r="T277" s="36"/>
      <c r="U277" s="36"/>
    </row>
    <row r="278" spans="1:21" ht="14.75" customHeight="1" x14ac:dyDescent="0.2">
      <c r="A278" s="60" t="s">
        <v>19</v>
      </c>
      <c r="B278" s="61">
        <v>44</v>
      </c>
      <c r="C278" s="61">
        <v>43.6</v>
      </c>
      <c r="D278" s="61">
        <v>40.1</v>
      </c>
      <c r="E278" s="36"/>
      <c r="F278" s="62" t="s">
        <v>20</v>
      </c>
      <c r="G278" s="63">
        <f>IFERROR(AVERAGE(B278:D280),"-")</f>
        <v>45.588888888888896</v>
      </c>
      <c r="H278" s="36"/>
      <c r="I278" s="60" t="s">
        <v>19</v>
      </c>
      <c r="J278" s="61">
        <v>762.9</v>
      </c>
      <c r="K278" s="61">
        <v>894.4</v>
      </c>
      <c r="L278" s="61">
        <v>787.6</v>
      </c>
      <c r="M278" s="36"/>
      <c r="N278" s="62" t="s">
        <v>20</v>
      </c>
      <c r="O278" s="63">
        <f>IFERROR(AVERAGE(J278:L280),"-")</f>
        <v>811.8</v>
      </c>
      <c r="P278" s="36"/>
      <c r="Q278" s="36"/>
      <c r="R278" s="36"/>
      <c r="S278" s="36"/>
      <c r="T278" s="36"/>
      <c r="U278" s="36"/>
    </row>
    <row r="279" spans="1:21" ht="14.75" customHeight="1" x14ac:dyDescent="0.2">
      <c r="A279" s="60" t="s">
        <v>21</v>
      </c>
      <c r="B279" s="64">
        <v>47.3</v>
      </c>
      <c r="C279" s="64">
        <v>45</v>
      </c>
      <c r="D279" s="64">
        <v>41.6</v>
      </c>
      <c r="E279" s="36"/>
      <c r="F279" s="62" t="s">
        <v>22</v>
      </c>
      <c r="G279" s="63">
        <f>IFERROR(MIN(B278:D280),"-")</f>
        <v>40.1</v>
      </c>
      <c r="H279" s="36"/>
      <c r="I279" s="60" t="s">
        <v>21</v>
      </c>
      <c r="J279" s="64">
        <v>804.1</v>
      </c>
      <c r="K279" s="64">
        <v>927.5</v>
      </c>
      <c r="L279" s="64">
        <v>774.8</v>
      </c>
      <c r="M279" s="36"/>
      <c r="N279" s="62" t="s">
        <v>22</v>
      </c>
      <c r="O279" s="63">
        <f>IFERROR(MIN(J278:L280),"-")</f>
        <v>744.4</v>
      </c>
      <c r="P279" s="36"/>
      <c r="Q279" s="36"/>
      <c r="R279" s="36"/>
      <c r="S279" s="36"/>
      <c r="T279" s="36"/>
      <c r="U279" s="36"/>
    </row>
    <row r="280" spans="1:21" ht="14.75" customHeight="1" x14ac:dyDescent="0.2">
      <c r="A280" s="60" t="s">
        <v>23</v>
      </c>
      <c r="B280" s="64">
        <v>47.1</v>
      </c>
      <c r="C280" s="64">
        <v>51.5</v>
      </c>
      <c r="D280" s="64">
        <v>50.1</v>
      </c>
      <c r="E280" s="36"/>
      <c r="F280" s="62" t="s">
        <v>24</v>
      </c>
      <c r="G280" s="63">
        <f>IFERROR(MAX(B278:D280),"-")</f>
        <v>51.5</v>
      </c>
      <c r="H280" s="36"/>
      <c r="I280" s="60" t="s">
        <v>23</v>
      </c>
      <c r="J280" s="64">
        <v>745.8</v>
      </c>
      <c r="K280" s="64">
        <v>864.7</v>
      </c>
      <c r="L280" s="64">
        <v>744.4</v>
      </c>
      <c r="M280" s="36"/>
      <c r="N280" s="62" t="s">
        <v>24</v>
      </c>
      <c r="O280" s="63">
        <f>IFERROR(MAX(J278:L280),"-")</f>
        <v>927.5</v>
      </c>
      <c r="P280" s="36"/>
      <c r="Q280" s="36"/>
      <c r="R280" s="36"/>
      <c r="S280" s="36"/>
      <c r="T280" s="36"/>
      <c r="U280" s="36"/>
    </row>
    <row r="281" spans="1:21" ht="14.75" customHeight="1" x14ac:dyDescent="0.2">
      <c r="A281" s="36"/>
      <c r="B281" s="36"/>
      <c r="C281" s="36"/>
      <c r="D281" s="36"/>
      <c r="E281" s="36"/>
      <c r="F281" s="62" t="s">
        <v>25</v>
      </c>
      <c r="G281" s="63">
        <f>IFERROR(G280-G279,"-")</f>
        <v>11.399999999999999</v>
      </c>
      <c r="H281" s="36"/>
      <c r="I281" s="36"/>
      <c r="J281" s="36"/>
      <c r="K281" s="36"/>
      <c r="L281" s="36"/>
      <c r="M281" s="36"/>
      <c r="N281" s="62" t="s">
        <v>25</v>
      </c>
      <c r="O281" s="63">
        <f>IFERROR(O280-O279,"-")</f>
        <v>183.10000000000002</v>
      </c>
      <c r="P281" s="36"/>
      <c r="Q281" s="36"/>
      <c r="R281" s="36"/>
      <c r="S281" s="36"/>
      <c r="T281" s="36"/>
      <c r="U281" s="36"/>
    </row>
    <row r="282" spans="1:21" ht="14.75" customHeight="1" x14ac:dyDescent="0.2">
      <c r="A282" s="36"/>
      <c r="B282" s="36"/>
      <c r="C282" s="36"/>
      <c r="D282" s="36"/>
      <c r="E282" s="36"/>
      <c r="F282" s="62" t="s">
        <v>26</v>
      </c>
      <c r="G282" s="63">
        <f>IFERROR(STDEV(B278:D280),"-")</f>
        <v>3.7644536271696998</v>
      </c>
      <c r="H282" s="36"/>
      <c r="I282" s="36"/>
      <c r="J282" s="36"/>
      <c r="K282" s="36"/>
      <c r="L282" s="36"/>
      <c r="M282" s="36"/>
      <c r="N282" s="62" t="s">
        <v>26</v>
      </c>
      <c r="O282" s="63">
        <f>IFERROR(STDEV(J278:L280),"-")</f>
        <v>67.371692868741263</v>
      </c>
      <c r="P282" s="36"/>
      <c r="Q282" s="36"/>
      <c r="R282" s="36"/>
      <c r="S282" s="36"/>
      <c r="T282" s="36"/>
      <c r="U282" s="36"/>
    </row>
    <row r="283" spans="1:21" ht="14.7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62" t="s">
        <v>27</v>
      </c>
      <c r="O283" s="63">
        <f>IFERROR((1-((O280-O279)/(2*O278)))*100,"-")</f>
        <v>88.722591771372265</v>
      </c>
      <c r="P283" s="36"/>
      <c r="Q283" s="36"/>
      <c r="R283" s="36"/>
      <c r="S283" s="36"/>
      <c r="T283" s="36"/>
      <c r="U283" s="36"/>
    </row>
    <row r="284" spans="1:21" ht="14.7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</row>
    <row r="285" spans="1:21" ht="14.75" customHeight="1" x14ac:dyDescent="0.2">
      <c r="A285" s="78" t="s">
        <v>28</v>
      </c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80"/>
      <c r="P285" s="36"/>
      <c r="Q285" s="36"/>
      <c r="R285" s="36"/>
      <c r="S285" s="36"/>
      <c r="T285" s="36"/>
      <c r="U285" s="36"/>
    </row>
    <row r="286" spans="1:21" ht="14.75" customHeight="1" x14ac:dyDescent="0.2">
      <c r="A286" s="62" t="s">
        <v>29</v>
      </c>
      <c r="B286" s="61"/>
      <c r="C286" s="36"/>
      <c r="D286" s="62" t="s">
        <v>30</v>
      </c>
      <c r="E286" s="61"/>
      <c r="F286" s="36"/>
      <c r="G286" s="62" t="s">
        <v>31</v>
      </c>
      <c r="H286" s="61"/>
      <c r="I286" s="36"/>
      <c r="J286" s="36"/>
      <c r="K286" s="62" t="s">
        <v>33</v>
      </c>
      <c r="L286" s="61"/>
      <c r="M286" s="36"/>
      <c r="N286" s="36"/>
      <c r="O286" s="36"/>
      <c r="P286" s="36"/>
      <c r="Q286" s="36"/>
      <c r="R286" s="36"/>
      <c r="S286" s="36"/>
      <c r="T286" s="36"/>
      <c r="U286" s="36"/>
    </row>
    <row r="287" spans="1:21" ht="14.7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</row>
    <row r="288" spans="1:21" ht="14.75" customHeight="1" x14ac:dyDescent="0.2">
      <c r="A288" s="78" t="s">
        <v>35</v>
      </c>
      <c r="B288" s="79"/>
      <c r="C288" s="79"/>
      <c r="D288" s="79"/>
      <c r="E288" s="79"/>
      <c r="F288" s="80"/>
      <c r="G288" s="36"/>
      <c r="H288" s="78" t="s">
        <v>36</v>
      </c>
      <c r="I288" s="80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</row>
    <row r="289" spans="1:21" ht="29" customHeight="1" x14ac:dyDescent="0.2">
      <c r="A289" s="57" t="s">
        <v>37</v>
      </c>
      <c r="B289" s="58" t="s">
        <v>38</v>
      </c>
      <c r="C289" s="58" t="s">
        <v>39</v>
      </c>
      <c r="D289" s="58" t="s">
        <v>40</v>
      </c>
      <c r="E289" s="58" t="s">
        <v>41</v>
      </c>
      <c r="F289" s="58" t="s">
        <v>42</v>
      </c>
      <c r="G289" s="36"/>
      <c r="H289" s="36"/>
      <c r="I289" s="36"/>
      <c r="J289" s="36"/>
      <c r="K289" s="49" t="s">
        <v>43</v>
      </c>
      <c r="L289" s="49" t="s">
        <v>44</v>
      </c>
      <c r="M289" s="36"/>
      <c r="N289" s="36"/>
      <c r="O289" s="36"/>
      <c r="P289" s="36"/>
      <c r="Q289" s="36"/>
      <c r="R289" s="36"/>
      <c r="S289" s="36"/>
      <c r="T289" s="36"/>
      <c r="U289" s="36"/>
    </row>
    <row r="290" spans="1:21" ht="14.75" customHeight="1" x14ac:dyDescent="0.2">
      <c r="A290" s="65">
        <v>1</v>
      </c>
      <c r="B290" s="61">
        <v>2</v>
      </c>
      <c r="C290" s="66">
        <v>3.69</v>
      </c>
      <c r="D290" s="66">
        <v>1.82</v>
      </c>
      <c r="E290" s="67">
        <f t="shared" ref="E290:E315" si="10">IF(OR(C290="",D290=""),"-",C290*D290)</f>
        <v>6.7157999999999998</v>
      </c>
      <c r="F290" s="63">
        <f t="shared" ref="F290:F315" si="11">IFERROR(C290/D290,"-")</f>
        <v>2.0274725274725274</v>
      </c>
      <c r="G290" s="36"/>
      <c r="H290" s="24" t="s">
        <v>45</v>
      </c>
      <c r="I290" s="68">
        <f>IFERROR(INDEX(C290:C315,MATCH("open",B290:B315,0)),"-")</f>
        <v>21.88</v>
      </c>
      <c r="J290" s="36"/>
      <c r="K290" s="69">
        <f>IF(ISNUMBER(I291),0,NA())</f>
        <v>0</v>
      </c>
      <c r="L290" s="70">
        <f>IF(ISNUMBER(I291),MIN(I291,$L$22),NA())</f>
        <v>1.8406145251396648</v>
      </c>
      <c r="M290" s="36"/>
      <c r="N290" s="36"/>
      <c r="O290" s="36"/>
      <c r="P290" s="36"/>
      <c r="Q290" s="36"/>
      <c r="R290" s="36"/>
      <c r="S290" s="36"/>
      <c r="T290" s="36"/>
      <c r="U290" s="36"/>
    </row>
    <row r="291" spans="1:21" ht="29" customHeight="1" x14ac:dyDescent="0.2">
      <c r="A291" s="65">
        <v>2</v>
      </c>
      <c r="B291" s="61">
        <v>3</v>
      </c>
      <c r="C291" s="66">
        <v>5.48</v>
      </c>
      <c r="D291" s="66">
        <v>1.81</v>
      </c>
      <c r="E291" s="67">
        <f t="shared" si="10"/>
        <v>9.9188000000000009</v>
      </c>
      <c r="F291" s="63">
        <f t="shared" si="11"/>
        <v>3.0276243093922655</v>
      </c>
      <c r="G291" s="36"/>
      <c r="H291" s="56" t="s">
        <v>46</v>
      </c>
      <c r="I291" s="71">
        <f>IFERROR(D290-C290*(D291-D290)/(C291-C290),"-")</f>
        <v>1.8406145251396648</v>
      </c>
      <c r="J291" s="36"/>
      <c r="K291" s="69">
        <f>IF(ISNUMBER(C290),C290,NA())</f>
        <v>3.69</v>
      </c>
      <c r="L291" s="70">
        <f>IF(ISNUMBER(D290),D290,NA())</f>
        <v>1.82</v>
      </c>
      <c r="M291" s="36"/>
      <c r="N291" s="36"/>
      <c r="O291" s="36"/>
      <c r="P291" s="36"/>
      <c r="Q291" s="36"/>
      <c r="R291" s="36"/>
      <c r="S291" s="36"/>
      <c r="T291" s="36"/>
      <c r="U291" s="36"/>
    </row>
    <row r="292" spans="1:21" ht="14.75" customHeight="1" x14ac:dyDescent="0.2">
      <c r="A292" s="65">
        <v>3</v>
      </c>
      <c r="B292" s="61">
        <v>4</v>
      </c>
      <c r="C292" s="66">
        <v>7.24</v>
      </c>
      <c r="D292" s="66">
        <v>1.81</v>
      </c>
      <c r="E292" s="67">
        <f t="shared" si="10"/>
        <v>13.1044</v>
      </c>
      <c r="F292" s="63">
        <f t="shared" si="11"/>
        <v>4</v>
      </c>
      <c r="G292" s="36"/>
      <c r="H292" s="56" t="s">
        <v>47</v>
      </c>
      <c r="I292" s="71">
        <f>IFERROR(MAX(E290:E315),"-")</f>
        <v>32.199299999999994</v>
      </c>
      <c r="J292" s="36"/>
      <c r="K292" s="36" t="s">
        <v>48</v>
      </c>
      <c r="L292" s="36" t="str">
        <f>IF(NOT(ISNUMBER(I291)),"",IF(I291&gt;$L$22,"Yes","No"))</f>
        <v>Yes</v>
      </c>
      <c r="M292" s="36"/>
      <c r="N292" s="36"/>
      <c r="O292" s="36"/>
      <c r="P292" s="36"/>
      <c r="Q292" s="36"/>
      <c r="R292" s="36"/>
      <c r="S292" s="36"/>
      <c r="T292" s="36"/>
      <c r="U292" s="36"/>
    </row>
    <row r="293" spans="1:21" ht="14.75" customHeight="1" x14ac:dyDescent="0.2">
      <c r="A293" s="65">
        <v>4</v>
      </c>
      <c r="B293" s="61">
        <v>5</v>
      </c>
      <c r="C293" s="66">
        <v>9.02</v>
      </c>
      <c r="D293" s="66">
        <v>1.8</v>
      </c>
      <c r="E293" s="67">
        <f t="shared" si="10"/>
        <v>16.236000000000001</v>
      </c>
      <c r="F293" s="63">
        <f t="shared" si="11"/>
        <v>5.0111111111111111</v>
      </c>
      <c r="G293" s="36"/>
      <c r="H293" s="56" t="s">
        <v>49</v>
      </c>
      <c r="I293" s="67">
        <f>IFERROR(INDEX(C290:C315,MATCH(I292,E290:E315,0)),"-")</f>
        <v>18.829999999999998</v>
      </c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</row>
    <row r="294" spans="1:21" ht="14.75" customHeight="1" x14ac:dyDescent="0.2">
      <c r="A294" s="65">
        <v>5</v>
      </c>
      <c r="B294" s="61">
        <v>6</v>
      </c>
      <c r="C294" s="66">
        <v>10.83</v>
      </c>
      <c r="D294" s="66">
        <v>1.8</v>
      </c>
      <c r="E294" s="67">
        <f t="shared" si="10"/>
        <v>19.494</v>
      </c>
      <c r="F294" s="63">
        <f t="shared" si="11"/>
        <v>6.0166666666666666</v>
      </c>
      <c r="G294" s="36"/>
      <c r="H294" s="56" t="s">
        <v>50</v>
      </c>
      <c r="I294" s="67">
        <f>IFERROR(INDEX(D290:D315,MATCH(I292,E290:E315,0)),"-")</f>
        <v>1.71</v>
      </c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</row>
    <row r="295" spans="1:21" ht="14.75" customHeight="1" x14ac:dyDescent="0.2">
      <c r="A295" s="65">
        <v>6</v>
      </c>
      <c r="B295" s="61">
        <v>7</v>
      </c>
      <c r="C295" s="66">
        <v>12.57</v>
      </c>
      <c r="D295" s="66">
        <v>1.79</v>
      </c>
      <c r="E295" s="67">
        <f t="shared" si="10"/>
        <v>22.500299999999999</v>
      </c>
      <c r="F295" s="63">
        <f t="shared" si="11"/>
        <v>7.022346368715084</v>
      </c>
      <c r="G295" s="36"/>
      <c r="H295" s="56" t="s">
        <v>51</v>
      </c>
      <c r="I295" s="72">
        <f>IFERROR(I293/I294,"-")</f>
        <v>11.011695906432747</v>
      </c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</row>
    <row r="296" spans="1:21" ht="14.75" customHeight="1" x14ac:dyDescent="0.2">
      <c r="A296" s="65">
        <v>7</v>
      </c>
      <c r="B296" s="61">
        <v>8</v>
      </c>
      <c r="C296" s="66">
        <v>14.33</v>
      </c>
      <c r="D296" s="66">
        <v>1.79</v>
      </c>
      <c r="E296" s="67">
        <f t="shared" si="10"/>
        <v>25.650700000000001</v>
      </c>
      <c r="F296" s="63">
        <f t="shared" si="11"/>
        <v>8.005586592178771</v>
      </c>
      <c r="G296" s="36"/>
      <c r="H296" s="56" t="s">
        <v>52</v>
      </c>
      <c r="I296" s="72">
        <f>IFERROR(I292/(I290*I291),"-")</f>
        <v>0.79953276851653987</v>
      </c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</row>
    <row r="297" spans="1:21" ht="29" customHeight="1" x14ac:dyDescent="0.2">
      <c r="A297" s="65">
        <v>8</v>
      </c>
      <c r="B297" s="61">
        <v>9</v>
      </c>
      <c r="C297" s="66">
        <v>16.13</v>
      </c>
      <c r="D297" s="66">
        <v>1.79</v>
      </c>
      <c r="E297" s="67">
        <f t="shared" si="10"/>
        <v>28.872699999999998</v>
      </c>
      <c r="F297" s="63">
        <f t="shared" si="11"/>
        <v>9.011173184357542</v>
      </c>
      <c r="G297" s="36"/>
      <c r="H297" s="56" t="s">
        <v>53</v>
      </c>
      <c r="I297" s="73">
        <f>COUNT(D290:D315)</f>
        <v>26</v>
      </c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</row>
    <row r="298" spans="1:21" ht="14.75" customHeight="1" x14ac:dyDescent="0.2">
      <c r="A298" s="65">
        <v>9</v>
      </c>
      <c r="B298" s="61">
        <v>10</v>
      </c>
      <c r="C298" s="66">
        <v>17.96</v>
      </c>
      <c r="D298" s="66">
        <v>1.79</v>
      </c>
      <c r="E298" s="67">
        <f t="shared" si="10"/>
        <v>32.148400000000002</v>
      </c>
      <c r="F298" s="63">
        <f t="shared" si="11"/>
        <v>10.033519553072626</v>
      </c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</row>
    <row r="299" spans="1:21" ht="14.75" customHeight="1" x14ac:dyDescent="0.2">
      <c r="A299" s="65">
        <v>10</v>
      </c>
      <c r="B299" s="61">
        <v>11</v>
      </c>
      <c r="C299" s="66">
        <v>18.829999999999998</v>
      </c>
      <c r="D299" s="66">
        <v>1.71</v>
      </c>
      <c r="E299" s="67">
        <f t="shared" si="10"/>
        <v>32.199299999999994</v>
      </c>
      <c r="F299" s="63">
        <f t="shared" si="11"/>
        <v>11.011695906432747</v>
      </c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</row>
    <row r="300" spans="1:21" ht="14.75" customHeight="1" x14ac:dyDescent="0.2">
      <c r="A300" s="65">
        <v>11</v>
      </c>
      <c r="B300" s="61">
        <v>12</v>
      </c>
      <c r="C300" s="66">
        <v>19.28</v>
      </c>
      <c r="D300" s="66">
        <v>1.61</v>
      </c>
      <c r="E300" s="67">
        <f t="shared" si="10"/>
        <v>31.040800000000004</v>
      </c>
      <c r="F300" s="63">
        <f t="shared" si="11"/>
        <v>11.975155279503106</v>
      </c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</row>
    <row r="301" spans="1:21" ht="14.75" customHeight="1" x14ac:dyDescent="0.2">
      <c r="A301" s="65">
        <v>12</v>
      </c>
      <c r="B301" s="61">
        <v>13</v>
      </c>
      <c r="C301" s="66">
        <v>19.579999999999998</v>
      </c>
      <c r="D301" s="66">
        <v>1.51</v>
      </c>
      <c r="E301" s="67">
        <f t="shared" si="10"/>
        <v>29.565799999999996</v>
      </c>
      <c r="F301" s="63">
        <f t="shared" si="11"/>
        <v>12.966887417218542</v>
      </c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</row>
    <row r="302" spans="1:21" ht="14.75" customHeight="1" x14ac:dyDescent="0.2">
      <c r="A302" s="65">
        <v>13</v>
      </c>
      <c r="B302" s="61">
        <v>14</v>
      </c>
      <c r="C302" s="66">
        <v>19.82</v>
      </c>
      <c r="D302" s="66">
        <v>1.42</v>
      </c>
      <c r="E302" s="67">
        <f t="shared" si="10"/>
        <v>28.144399999999997</v>
      </c>
      <c r="F302" s="63">
        <f t="shared" si="11"/>
        <v>13.95774647887324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</row>
    <row r="303" spans="1:21" ht="14.75" customHeight="1" x14ac:dyDescent="0.2">
      <c r="A303" s="65">
        <v>14</v>
      </c>
      <c r="B303" s="61">
        <v>16</v>
      </c>
      <c r="C303" s="66">
        <v>20.18</v>
      </c>
      <c r="D303" s="66">
        <v>1.26</v>
      </c>
      <c r="E303" s="67">
        <f t="shared" si="10"/>
        <v>25.4268</v>
      </c>
      <c r="F303" s="63">
        <f t="shared" si="11"/>
        <v>16.015873015873016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</row>
    <row r="304" spans="1:21" ht="14.75" customHeight="1" x14ac:dyDescent="0.2">
      <c r="A304" s="65">
        <v>15</v>
      </c>
      <c r="B304" s="61">
        <v>18</v>
      </c>
      <c r="C304" s="66">
        <v>20.420000000000002</v>
      </c>
      <c r="D304" s="66">
        <v>1.1399999999999999</v>
      </c>
      <c r="E304" s="67">
        <f t="shared" si="10"/>
        <v>23.2788</v>
      </c>
      <c r="F304" s="63">
        <f t="shared" si="11"/>
        <v>17.912280701754391</v>
      </c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</row>
    <row r="305" spans="1:21" ht="14.75" customHeight="1" x14ac:dyDescent="0.2">
      <c r="A305" s="65">
        <v>16</v>
      </c>
      <c r="B305" s="61">
        <v>20</v>
      </c>
      <c r="C305" s="66">
        <v>20.59</v>
      </c>
      <c r="D305" s="66">
        <v>1.03</v>
      </c>
      <c r="E305" s="67">
        <f t="shared" si="10"/>
        <v>21.207699999999999</v>
      </c>
      <c r="F305" s="63">
        <f t="shared" si="11"/>
        <v>19.990291262135923</v>
      </c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</row>
    <row r="306" spans="1:21" ht="14.75" customHeight="1" x14ac:dyDescent="0.2">
      <c r="A306" s="65">
        <v>17</v>
      </c>
      <c r="B306" s="61">
        <v>24</v>
      </c>
      <c r="C306" s="66">
        <v>20.84</v>
      </c>
      <c r="D306" s="66">
        <v>0.87</v>
      </c>
      <c r="E306" s="67">
        <f t="shared" si="10"/>
        <v>18.130800000000001</v>
      </c>
      <c r="F306" s="63">
        <f t="shared" si="11"/>
        <v>23.954022988505749</v>
      </c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</row>
    <row r="307" spans="1:21" ht="14.75" customHeight="1" x14ac:dyDescent="0.2">
      <c r="A307" s="65">
        <v>18</v>
      </c>
      <c r="B307" s="61">
        <v>28</v>
      </c>
      <c r="C307" s="66">
        <v>21.01</v>
      </c>
      <c r="D307" s="66">
        <v>0.75</v>
      </c>
      <c r="E307" s="67">
        <f t="shared" si="10"/>
        <v>15.7575</v>
      </c>
      <c r="F307" s="63">
        <f t="shared" si="11"/>
        <v>28.013333333333335</v>
      </c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</row>
    <row r="308" spans="1:21" ht="14.75" customHeight="1" x14ac:dyDescent="0.2">
      <c r="A308" s="65">
        <v>19</v>
      </c>
      <c r="B308" s="61">
        <v>33</v>
      </c>
      <c r="C308" s="66">
        <v>21.15</v>
      </c>
      <c r="D308" s="66">
        <v>0.68</v>
      </c>
      <c r="E308" s="67">
        <f t="shared" si="10"/>
        <v>14.382</v>
      </c>
      <c r="F308" s="63">
        <f t="shared" si="11"/>
        <v>31.102941176470583</v>
      </c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</row>
    <row r="309" spans="1:21" ht="14.75" customHeight="1" x14ac:dyDescent="0.2">
      <c r="A309" s="65">
        <v>20</v>
      </c>
      <c r="B309" s="61">
        <v>40</v>
      </c>
      <c r="C309" s="66">
        <v>21.29</v>
      </c>
      <c r="D309" s="66">
        <v>0.57999999999999996</v>
      </c>
      <c r="E309" s="67">
        <f t="shared" si="10"/>
        <v>12.348199999999999</v>
      </c>
      <c r="F309" s="63">
        <f t="shared" si="11"/>
        <v>36.706896551724142</v>
      </c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</row>
    <row r="310" spans="1:21" ht="14.75" customHeight="1" x14ac:dyDescent="0.2">
      <c r="A310" s="65">
        <v>21</v>
      </c>
      <c r="B310" s="61">
        <v>50</v>
      </c>
      <c r="C310" s="66">
        <v>21.41</v>
      </c>
      <c r="D310" s="66">
        <v>0.43</v>
      </c>
      <c r="E310" s="67">
        <f t="shared" si="10"/>
        <v>9.2063000000000006</v>
      </c>
      <c r="F310" s="63">
        <f t="shared" si="11"/>
        <v>49.790697674418603</v>
      </c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</row>
    <row r="311" spans="1:21" ht="14.75" customHeight="1" x14ac:dyDescent="0.2">
      <c r="A311" s="65">
        <v>22</v>
      </c>
      <c r="B311" s="61">
        <v>70</v>
      </c>
      <c r="C311" s="66">
        <v>21.56</v>
      </c>
      <c r="D311" s="66">
        <v>0.31</v>
      </c>
      <c r="E311" s="67">
        <f t="shared" si="10"/>
        <v>6.6835999999999993</v>
      </c>
      <c r="F311" s="63">
        <f t="shared" si="11"/>
        <v>69.548387096774192</v>
      </c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</row>
    <row r="312" spans="1:21" ht="14.75" customHeight="1" x14ac:dyDescent="0.2">
      <c r="A312" s="65">
        <v>23</v>
      </c>
      <c r="B312" s="61">
        <v>110</v>
      </c>
      <c r="C312" s="66">
        <v>21.68</v>
      </c>
      <c r="D312" s="66">
        <v>0.2</v>
      </c>
      <c r="E312" s="67">
        <f t="shared" si="10"/>
        <v>4.3360000000000003</v>
      </c>
      <c r="F312" s="63">
        <f t="shared" si="11"/>
        <v>108.39999999999999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</row>
    <row r="313" spans="1:21" ht="14.75" customHeight="1" x14ac:dyDescent="0.2">
      <c r="A313" s="65">
        <v>24</v>
      </c>
      <c r="B313" s="61">
        <v>200</v>
      </c>
      <c r="C313" s="66">
        <v>21.77</v>
      </c>
      <c r="D313" s="66">
        <v>0.11</v>
      </c>
      <c r="E313" s="67">
        <f t="shared" si="10"/>
        <v>2.3946999999999998</v>
      </c>
      <c r="F313" s="63">
        <f t="shared" si="11"/>
        <v>197.90909090909091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</row>
    <row r="314" spans="1:21" ht="14.75" customHeight="1" x14ac:dyDescent="0.2">
      <c r="A314" s="65">
        <v>25</v>
      </c>
      <c r="B314" s="61">
        <v>400</v>
      </c>
      <c r="C314" s="66">
        <v>21.82</v>
      </c>
      <c r="D314" s="66">
        <v>0.05</v>
      </c>
      <c r="E314" s="67">
        <f t="shared" si="10"/>
        <v>1.091</v>
      </c>
      <c r="F314" s="63">
        <f t="shared" si="11"/>
        <v>436.4</v>
      </c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</row>
    <row r="315" spans="1:21" ht="14.75" customHeight="1" x14ac:dyDescent="0.2">
      <c r="A315" s="65">
        <v>26</v>
      </c>
      <c r="B315" s="61" t="s">
        <v>54</v>
      </c>
      <c r="C315" s="66">
        <v>21.88</v>
      </c>
      <c r="D315" s="66">
        <v>0</v>
      </c>
      <c r="E315" s="67">
        <f t="shared" si="10"/>
        <v>0</v>
      </c>
      <c r="F315" s="63" t="str">
        <f t="shared" si="11"/>
        <v>-</v>
      </c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</row>
    <row r="316" spans="1:21" ht="14.7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</row>
    <row r="317" spans="1:21" ht="14.75" customHeight="1" x14ac:dyDescent="0.2">
      <c r="A317" s="81" t="s">
        <v>55</v>
      </c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36"/>
      <c r="Q317" s="36"/>
      <c r="R317" s="36"/>
      <c r="S317" s="36"/>
      <c r="T317" s="36"/>
      <c r="U317" s="36"/>
    </row>
    <row r="318" spans="1:21" ht="14.7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</row>
  </sheetData>
  <mergeCells count="66">
    <mergeCell ref="I276:L276"/>
    <mergeCell ref="A285:O285"/>
    <mergeCell ref="A288:F288"/>
    <mergeCell ref="H288:I288"/>
    <mergeCell ref="A317:O317"/>
    <mergeCell ref="A276:D276"/>
    <mergeCell ref="A270:B270"/>
    <mergeCell ref="B271:D271"/>
    <mergeCell ref="B272:D272"/>
    <mergeCell ref="B273:D273"/>
    <mergeCell ref="B274:D274"/>
    <mergeCell ref="A264:O264"/>
    <mergeCell ref="A211:O211"/>
    <mergeCell ref="A217:B217"/>
    <mergeCell ref="B218:D218"/>
    <mergeCell ref="B219:D219"/>
    <mergeCell ref="B220:D220"/>
    <mergeCell ref="B221:D221"/>
    <mergeCell ref="A223:D223"/>
    <mergeCell ref="I223:L223"/>
    <mergeCell ref="A232:O232"/>
    <mergeCell ref="A235:F235"/>
    <mergeCell ref="H235:I235"/>
    <mergeCell ref="A182:F182"/>
    <mergeCell ref="H182:I182"/>
    <mergeCell ref="A129:F129"/>
    <mergeCell ref="H129:I129"/>
    <mergeCell ref="A158:O158"/>
    <mergeCell ref="A164:B164"/>
    <mergeCell ref="B165:D165"/>
    <mergeCell ref="B166:D166"/>
    <mergeCell ref="B167:D167"/>
    <mergeCell ref="B168:D168"/>
    <mergeCell ref="A170:D170"/>
    <mergeCell ref="I170:L170"/>
    <mergeCell ref="A179:O179"/>
    <mergeCell ref="A126:O126"/>
    <mergeCell ref="A73:O73"/>
    <mergeCell ref="A76:F76"/>
    <mergeCell ref="H76:I76"/>
    <mergeCell ref="A105:O105"/>
    <mergeCell ref="A111:B111"/>
    <mergeCell ref="B112:D112"/>
    <mergeCell ref="B113:D113"/>
    <mergeCell ref="B114:D114"/>
    <mergeCell ref="B115:D115"/>
    <mergeCell ref="A117:D117"/>
    <mergeCell ref="I117:L117"/>
    <mergeCell ref="I64:L64"/>
    <mergeCell ref="I11:L11"/>
    <mergeCell ref="A20:O20"/>
    <mergeCell ref="A23:F23"/>
    <mergeCell ref="H23:I23"/>
    <mergeCell ref="A52:O52"/>
    <mergeCell ref="A58:B58"/>
    <mergeCell ref="A11:D11"/>
    <mergeCell ref="B59:D59"/>
    <mergeCell ref="B60:D60"/>
    <mergeCell ref="B61:D61"/>
    <mergeCell ref="B62:D62"/>
    <mergeCell ref="A64:D64"/>
    <mergeCell ref="A5:B5"/>
    <mergeCell ref="B6:D6"/>
    <mergeCell ref="B7:D7"/>
    <mergeCell ref="B8:D8"/>
    <mergeCell ref="B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1"/>
  <sheetViews>
    <sheetView showGridLines="0" zoomScaleNormal="100" workbookViewId="0">
      <pane ySplit="1" topLeftCell="A265" activePane="bottomLeft" state="frozen"/>
      <selection pane="bottomLeft" activeCell="G148" sqref="G148"/>
    </sheetView>
  </sheetViews>
  <sheetFormatPr baseColWidth="10" defaultColWidth="8.6640625" defaultRowHeight="15" x14ac:dyDescent="0.2"/>
  <cols>
    <col min="1" max="1" width="22" customWidth="1"/>
    <col min="2" max="2" width="13" customWidth="1"/>
    <col min="3" max="5" width="12" customWidth="1"/>
    <col min="6" max="6" width="14" customWidth="1"/>
    <col min="7" max="7" width="10" customWidth="1"/>
    <col min="8" max="8" width="20" customWidth="1"/>
    <col min="9" max="12" width="12" customWidth="1"/>
    <col min="13" max="13" width="4" customWidth="1"/>
    <col min="14" max="14" width="15" customWidth="1"/>
    <col min="15" max="15" width="11" customWidth="1"/>
    <col min="16" max="16" width="4" customWidth="1"/>
  </cols>
  <sheetData>
    <row r="1" spans="1:15" ht="24" customHeight="1" x14ac:dyDescent="0.2">
      <c r="A1" s="85" t="s">
        <v>64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3" spans="1:15" ht="45" x14ac:dyDescent="0.2">
      <c r="A3" s="2" t="s">
        <v>0</v>
      </c>
      <c r="B3" s="16">
        <v>46273</v>
      </c>
      <c r="D3" s="2" t="s">
        <v>1</v>
      </c>
      <c r="E3" s="13">
        <v>0.54166666666666663</v>
      </c>
      <c r="H3" s="1" t="s">
        <v>2</v>
      </c>
    </row>
    <row r="5" spans="1:15" ht="15" customHeight="1" x14ac:dyDescent="0.2">
      <c r="A5" s="86" t="s">
        <v>3</v>
      </c>
      <c r="B5" s="86"/>
    </row>
    <row r="6" spans="1:15" ht="15" customHeight="1" x14ac:dyDescent="0.2">
      <c r="A6" s="5" t="s">
        <v>4</v>
      </c>
      <c r="B6" s="87" t="s">
        <v>65</v>
      </c>
      <c r="C6" s="87"/>
      <c r="D6" s="87"/>
    </row>
    <row r="7" spans="1:15" ht="15" customHeight="1" x14ac:dyDescent="0.2">
      <c r="A7" s="5" t="s">
        <v>5</v>
      </c>
      <c r="B7" s="87" t="s">
        <v>66</v>
      </c>
      <c r="C7" s="87"/>
      <c r="D7" s="87"/>
    </row>
    <row r="8" spans="1:15" ht="15" customHeight="1" x14ac:dyDescent="0.2">
      <c r="A8" s="5" t="s">
        <v>7</v>
      </c>
      <c r="B8" s="87" t="s">
        <v>8</v>
      </c>
      <c r="C8" s="87"/>
      <c r="D8" s="87"/>
    </row>
    <row r="9" spans="1:15" ht="16" x14ac:dyDescent="0.2">
      <c r="A9" s="5" t="s">
        <v>9</v>
      </c>
      <c r="B9" s="87"/>
      <c r="C9" s="87"/>
      <c r="D9" s="87"/>
    </row>
    <row r="11" spans="1:15" ht="15" customHeight="1" x14ac:dyDescent="0.2">
      <c r="A11" s="86" t="s">
        <v>11</v>
      </c>
      <c r="B11" s="86"/>
      <c r="C11" s="86"/>
      <c r="D11" s="86"/>
      <c r="I11" s="86" t="s">
        <v>12</v>
      </c>
      <c r="J11" s="86"/>
      <c r="K11" s="86"/>
      <c r="L11" s="86"/>
    </row>
    <row r="12" spans="1:15" ht="16" x14ac:dyDescent="0.2">
      <c r="A12" s="6" t="s">
        <v>13</v>
      </c>
      <c r="B12" s="6" t="s">
        <v>14</v>
      </c>
      <c r="C12" s="6" t="s">
        <v>15</v>
      </c>
      <c r="D12" s="6" t="s">
        <v>16</v>
      </c>
      <c r="F12" s="6" t="s">
        <v>17</v>
      </c>
      <c r="G12" s="6" t="s">
        <v>18</v>
      </c>
      <c r="I12" s="6" t="s">
        <v>13</v>
      </c>
      <c r="J12" s="6" t="s">
        <v>14</v>
      </c>
      <c r="K12" s="6" t="s">
        <v>15</v>
      </c>
      <c r="L12" s="6" t="s">
        <v>16</v>
      </c>
      <c r="N12" s="6" t="s">
        <v>17</v>
      </c>
      <c r="O12" s="6" t="s">
        <v>18</v>
      </c>
    </row>
    <row r="13" spans="1:15" ht="16" x14ac:dyDescent="0.2">
      <c r="A13" s="7" t="s">
        <v>19</v>
      </c>
      <c r="B13" s="3">
        <v>52.7</v>
      </c>
      <c r="C13" s="3">
        <v>56.1</v>
      </c>
      <c r="D13" s="3">
        <v>52.5</v>
      </c>
      <c r="F13" s="2" t="s">
        <v>20</v>
      </c>
      <c r="G13" s="8">
        <f>IFERROR(AVERAGE(B13:D15),"-")</f>
        <v>52.944444444444443</v>
      </c>
      <c r="I13" s="7" t="s">
        <v>19</v>
      </c>
      <c r="J13" s="3">
        <v>733</v>
      </c>
      <c r="K13" s="3">
        <v>745</v>
      </c>
      <c r="L13" s="3">
        <v>747.1</v>
      </c>
      <c r="N13" s="2" t="s">
        <v>20</v>
      </c>
      <c r="O13" s="8">
        <f>IFERROR(AVERAGE(J13:L15),"-")</f>
        <v>752.9666666666667</v>
      </c>
    </row>
    <row r="14" spans="1:15" ht="16" x14ac:dyDescent="0.2">
      <c r="A14" s="7" t="s">
        <v>21</v>
      </c>
      <c r="B14" s="4">
        <v>53</v>
      </c>
      <c r="C14" s="4">
        <v>54.2</v>
      </c>
      <c r="D14" s="4">
        <v>51</v>
      </c>
      <c r="F14" s="2" t="s">
        <v>22</v>
      </c>
      <c r="G14" s="8">
        <f>IFERROR(MIN(B13:D15),"-")</f>
        <v>51</v>
      </c>
      <c r="I14" s="7" t="s">
        <v>21</v>
      </c>
      <c r="J14" s="4">
        <v>755</v>
      </c>
      <c r="K14" s="4">
        <v>750</v>
      </c>
      <c r="L14" s="4">
        <v>751</v>
      </c>
      <c r="N14" s="2" t="s">
        <v>22</v>
      </c>
      <c r="O14" s="8">
        <f>IFERROR(MIN(J13:L15),"-")</f>
        <v>733</v>
      </c>
    </row>
    <row r="15" spans="1:15" ht="16" x14ac:dyDescent="0.2">
      <c r="A15" s="7" t="s">
        <v>23</v>
      </c>
      <c r="B15" s="4">
        <v>51</v>
      </c>
      <c r="C15" s="4">
        <v>55</v>
      </c>
      <c r="D15" s="4">
        <v>51</v>
      </c>
      <c r="F15" s="2" t="s">
        <v>24</v>
      </c>
      <c r="G15" s="8">
        <f>IFERROR(MAX(B13:D15),"-")</f>
        <v>56.1</v>
      </c>
      <c r="I15" s="7" t="s">
        <v>23</v>
      </c>
      <c r="J15" s="4">
        <v>764</v>
      </c>
      <c r="K15" s="4">
        <v>762</v>
      </c>
      <c r="L15" s="4">
        <v>769.6</v>
      </c>
      <c r="N15" s="2" t="s">
        <v>24</v>
      </c>
      <c r="O15" s="8">
        <f>IFERROR(MAX(J13:L15),"-")</f>
        <v>769.6</v>
      </c>
    </row>
    <row r="16" spans="1:15" x14ac:dyDescent="0.2">
      <c r="F16" s="2" t="s">
        <v>25</v>
      </c>
      <c r="G16" s="8">
        <f>IFERROR(G15-G14,"-")</f>
        <v>5.1000000000000014</v>
      </c>
      <c r="N16" s="2" t="s">
        <v>25</v>
      </c>
      <c r="O16" s="8">
        <f>IFERROR(O15-O14,"-")</f>
        <v>36.600000000000023</v>
      </c>
    </row>
    <row r="17" spans="1:15" x14ac:dyDescent="0.2">
      <c r="F17" s="2" t="s">
        <v>26</v>
      </c>
      <c r="G17" s="8">
        <f>IFERROR(STDEV(B13:D15),"-")</f>
        <v>1.8493993018755519</v>
      </c>
      <c r="N17" s="2" t="s">
        <v>26</v>
      </c>
      <c r="O17" s="8">
        <f>IFERROR(STDEV(J13:L15),"-")</f>
        <v>11.143159336561606</v>
      </c>
    </row>
    <row r="18" spans="1:15" x14ac:dyDescent="0.2">
      <c r="N18" s="2" t="s">
        <v>27</v>
      </c>
      <c r="O18" s="8">
        <f>IFERROR((1-((O15-O14)/(2*O13)))*100,"-")</f>
        <v>97.569613528708672</v>
      </c>
    </row>
    <row r="20" spans="1:15" ht="15" customHeight="1" x14ac:dyDescent="0.2">
      <c r="A20" s="86" t="s">
        <v>28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</row>
    <row r="21" spans="1:15" ht="16" x14ac:dyDescent="0.2">
      <c r="A21" s="2" t="s">
        <v>29</v>
      </c>
      <c r="B21" s="3">
        <v>38.4</v>
      </c>
      <c r="D21" s="2" t="s">
        <v>30</v>
      </c>
      <c r="E21" s="3">
        <v>24.9</v>
      </c>
      <c r="G21" s="2" t="s">
        <v>31</v>
      </c>
      <c r="H21" s="3" t="s">
        <v>32</v>
      </c>
      <c r="K21" s="2" t="s">
        <v>33</v>
      </c>
      <c r="L21" s="3" t="s">
        <v>34</v>
      </c>
    </row>
    <row r="22" spans="1:15" x14ac:dyDescent="0.2">
      <c r="K22" s="17" t="s">
        <v>67</v>
      </c>
      <c r="L22" s="34">
        <v>4.76</v>
      </c>
    </row>
    <row r="23" spans="1:15" ht="15" customHeight="1" x14ac:dyDescent="0.2">
      <c r="A23" s="86" t="s">
        <v>35</v>
      </c>
      <c r="B23" s="86"/>
      <c r="C23" s="86"/>
      <c r="D23" s="86"/>
      <c r="E23" s="86"/>
      <c r="F23" s="86"/>
      <c r="H23" s="86" t="s">
        <v>36</v>
      </c>
      <c r="I23" s="86"/>
    </row>
    <row r="24" spans="1:15" ht="16" x14ac:dyDescent="0.2">
      <c r="A24" s="6" t="s">
        <v>37</v>
      </c>
      <c r="B24" s="6" t="s">
        <v>38</v>
      </c>
      <c r="C24" s="6" t="s">
        <v>39</v>
      </c>
      <c r="D24" s="6" t="s">
        <v>40</v>
      </c>
      <c r="E24" s="6" t="s">
        <v>41</v>
      </c>
      <c r="F24" s="6" t="s">
        <v>42</v>
      </c>
      <c r="K24" s="17" t="s">
        <v>43</v>
      </c>
      <c r="L24" s="17" t="s">
        <v>44</v>
      </c>
    </row>
    <row r="25" spans="1:15" ht="16" x14ac:dyDescent="0.2">
      <c r="A25" s="9">
        <v>1</v>
      </c>
      <c r="B25" s="3">
        <v>2</v>
      </c>
      <c r="C25" s="12">
        <v>8.1999999999999993</v>
      </c>
      <c r="D25" s="12">
        <v>4.0599999999999996</v>
      </c>
      <c r="E25" s="10">
        <f t="shared" ref="E25:E50" si="0">IF(OR(C25="",D25=""),"-",C25*D25)</f>
        <v>33.291999999999994</v>
      </c>
      <c r="F25" s="8">
        <f t="shared" ref="F25:F50" si="1">IFERROR(C25/D25,"-")</f>
        <v>2.0197044334975369</v>
      </c>
      <c r="H25" s="5" t="s">
        <v>45</v>
      </c>
      <c r="I25" s="10">
        <f>IFERROR(INDEX(C25:C50,MATCH("open",B25:B50,0)),"-")</f>
        <v>21.89</v>
      </c>
      <c r="K25" s="18">
        <f>IF(ISNUMBER(I26),0,NA())</f>
        <v>0</v>
      </c>
      <c r="L25" s="19">
        <f>IF(ISNUMBER(I26),MIN(I26,$L$22),NA())</f>
        <v>4.1829999999999989</v>
      </c>
    </row>
    <row r="26" spans="1:15" ht="16" x14ac:dyDescent="0.2">
      <c r="A26" s="9">
        <v>2</v>
      </c>
      <c r="B26" s="3">
        <v>3</v>
      </c>
      <c r="C26" s="12">
        <v>12.2</v>
      </c>
      <c r="D26" s="12">
        <v>4</v>
      </c>
      <c r="E26" s="10">
        <f t="shared" si="0"/>
        <v>48.8</v>
      </c>
      <c r="F26" s="8">
        <f t="shared" si="1"/>
        <v>3.05</v>
      </c>
      <c r="H26" s="5" t="s">
        <v>46</v>
      </c>
      <c r="I26" s="11">
        <f>IFERROR(D25-C25*(D26-D25)/(C26-C25),"-")</f>
        <v>4.1829999999999989</v>
      </c>
      <c r="K26" s="18">
        <f>IF(ISNUMBER(C25),C25,NA())</f>
        <v>8.1999999999999993</v>
      </c>
      <c r="L26" s="19">
        <f>IF(ISNUMBER(D25),D25,NA())</f>
        <v>4.0599999999999996</v>
      </c>
    </row>
    <row r="27" spans="1:15" ht="16" x14ac:dyDescent="0.2">
      <c r="A27" s="9">
        <v>3</v>
      </c>
      <c r="B27" s="3">
        <v>4</v>
      </c>
      <c r="C27" s="12">
        <v>15.63</v>
      </c>
      <c r="D27" s="12">
        <v>3.9</v>
      </c>
      <c r="E27" s="10">
        <f t="shared" si="0"/>
        <v>60.957000000000001</v>
      </c>
      <c r="F27" s="8">
        <f t="shared" si="1"/>
        <v>4.0076923076923077</v>
      </c>
      <c r="H27" s="5" t="s">
        <v>47</v>
      </c>
      <c r="I27" s="11">
        <f>IFERROR(MAX(E25:E50),"-")</f>
        <v>60.957000000000001</v>
      </c>
      <c r="K27" t="s">
        <v>48</v>
      </c>
      <c r="L27" t="str">
        <f>IF(NOT(ISNUMBER(I26)),"",IF(I26&gt;$L$22,"Yes","No"))</f>
        <v>No</v>
      </c>
    </row>
    <row r="28" spans="1:15" ht="16" x14ac:dyDescent="0.2">
      <c r="A28" s="9">
        <v>4</v>
      </c>
      <c r="B28" s="3">
        <v>5</v>
      </c>
      <c r="C28" s="12">
        <v>17.350000000000001</v>
      </c>
      <c r="D28" s="12">
        <v>3.47</v>
      </c>
      <c r="E28" s="10">
        <f t="shared" si="0"/>
        <v>60.20450000000001</v>
      </c>
      <c r="F28" s="8">
        <f t="shared" si="1"/>
        <v>5</v>
      </c>
      <c r="H28" s="5" t="s">
        <v>49</v>
      </c>
      <c r="I28" s="10">
        <f>IFERROR(INDEX(C25:C50,MATCH(I27,E25:E50,0)),"-")</f>
        <v>15.63</v>
      </c>
    </row>
    <row r="29" spans="1:15" ht="16" x14ac:dyDescent="0.2">
      <c r="A29" s="9">
        <v>5</v>
      </c>
      <c r="B29" s="3">
        <v>6</v>
      </c>
      <c r="C29" s="12">
        <v>18.3</v>
      </c>
      <c r="D29" s="12">
        <v>3.05</v>
      </c>
      <c r="E29" s="10">
        <f t="shared" si="0"/>
        <v>55.814999999999998</v>
      </c>
      <c r="F29" s="8">
        <f t="shared" si="1"/>
        <v>6.0000000000000009</v>
      </c>
      <c r="H29" s="5" t="s">
        <v>50</v>
      </c>
      <c r="I29" s="10">
        <f>IFERROR(INDEX(D25:D50,MATCH(I27,E25:E50,0)),"-")</f>
        <v>3.9</v>
      </c>
    </row>
    <row r="30" spans="1:15" ht="16" x14ac:dyDescent="0.2">
      <c r="A30" s="9">
        <v>6</v>
      </c>
      <c r="B30" s="3">
        <v>7</v>
      </c>
      <c r="C30" s="12">
        <v>18.899999999999999</v>
      </c>
      <c r="D30" s="12">
        <v>2.7</v>
      </c>
      <c r="E30" s="10">
        <f t="shared" si="0"/>
        <v>51.03</v>
      </c>
      <c r="F30" s="8">
        <f t="shared" si="1"/>
        <v>6.9999999999999991</v>
      </c>
      <c r="H30" s="5" t="s">
        <v>51</v>
      </c>
      <c r="I30" s="14">
        <f>IFERROR(I28/I29,"-")</f>
        <v>4.0076923076923077</v>
      </c>
    </row>
    <row r="31" spans="1:15" ht="16" x14ac:dyDescent="0.2">
      <c r="A31" s="9">
        <v>7</v>
      </c>
      <c r="B31" s="3">
        <v>8</v>
      </c>
      <c r="C31" s="12">
        <v>19.34</v>
      </c>
      <c r="D31" s="12">
        <v>2.42</v>
      </c>
      <c r="E31" s="10">
        <f t="shared" si="0"/>
        <v>46.802799999999998</v>
      </c>
      <c r="F31" s="8">
        <f t="shared" si="1"/>
        <v>7.9917355371900829</v>
      </c>
      <c r="H31" s="5" t="s">
        <v>52</v>
      </c>
      <c r="I31" s="14">
        <f>IFERROR(I27/(I25*I26),"-")</f>
        <v>0.66571747748369581</v>
      </c>
    </row>
    <row r="32" spans="1:15" ht="16" x14ac:dyDescent="0.2">
      <c r="A32" s="9">
        <v>8</v>
      </c>
      <c r="B32" s="3">
        <v>9</v>
      </c>
      <c r="C32" s="12">
        <v>19.66</v>
      </c>
      <c r="D32" s="12">
        <v>2.1800000000000002</v>
      </c>
      <c r="E32" s="10">
        <f t="shared" si="0"/>
        <v>42.858800000000002</v>
      </c>
      <c r="F32" s="8">
        <f t="shared" si="1"/>
        <v>9.0183486238532105</v>
      </c>
      <c r="H32" s="5" t="s">
        <v>53</v>
      </c>
      <c r="I32" s="15">
        <f>COUNT(D25:D50)</f>
        <v>26</v>
      </c>
    </row>
    <row r="33" spans="1:6" x14ac:dyDescent="0.2">
      <c r="A33" s="9">
        <v>9</v>
      </c>
      <c r="B33" s="3">
        <v>10</v>
      </c>
      <c r="C33" s="12">
        <v>19.899999999999999</v>
      </c>
      <c r="D33" s="12">
        <v>1.99</v>
      </c>
      <c r="E33" s="10">
        <f t="shared" si="0"/>
        <v>39.600999999999999</v>
      </c>
      <c r="F33" s="8">
        <f t="shared" si="1"/>
        <v>10</v>
      </c>
    </row>
    <row r="34" spans="1:6" x14ac:dyDescent="0.2">
      <c r="A34" s="9">
        <v>10</v>
      </c>
      <c r="B34" s="3">
        <v>11</v>
      </c>
      <c r="C34" s="12">
        <v>20.100000000000001</v>
      </c>
      <c r="D34" s="12">
        <v>1.83</v>
      </c>
      <c r="E34" s="10">
        <f t="shared" si="0"/>
        <v>36.783000000000001</v>
      </c>
      <c r="F34" s="8">
        <f t="shared" si="1"/>
        <v>10.983606557377049</v>
      </c>
    </row>
    <row r="35" spans="1:6" x14ac:dyDescent="0.2">
      <c r="A35" s="9">
        <v>11</v>
      </c>
      <c r="B35" s="3">
        <v>12</v>
      </c>
      <c r="C35" s="12">
        <v>20.25</v>
      </c>
      <c r="D35" s="12">
        <v>1.69</v>
      </c>
      <c r="E35" s="10">
        <f t="shared" si="0"/>
        <v>34.222499999999997</v>
      </c>
      <c r="F35" s="8">
        <f t="shared" si="1"/>
        <v>11.98224852071006</v>
      </c>
    </row>
    <row r="36" spans="1:6" x14ac:dyDescent="0.2">
      <c r="A36" s="9">
        <v>12</v>
      </c>
      <c r="B36" s="3">
        <v>13</v>
      </c>
      <c r="C36" s="12">
        <v>20.39</v>
      </c>
      <c r="D36" s="12">
        <v>1.57</v>
      </c>
      <c r="E36" s="10">
        <f t="shared" si="0"/>
        <v>32.012300000000003</v>
      </c>
      <c r="F36" s="8">
        <f t="shared" si="1"/>
        <v>12.987261146496815</v>
      </c>
    </row>
    <row r="37" spans="1:6" x14ac:dyDescent="0.2">
      <c r="A37" s="9">
        <v>13</v>
      </c>
      <c r="B37" s="3">
        <v>14</v>
      </c>
      <c r="C37" s="12">
        <v>20.49</v>
      </c>
      <c r="D37" s="12">
        <v>1.47</v>
      </c>
      <c r="E37" s="10">
        <f t="shared" si="0"/>
        <v>30.120299999999997</v>
      </c>
      <c r="F37" s="8">
        <f t="shared" si="1"/>
        <v>13.938775510204081</v>
      </c>
    </row>
    <row r="38" spans="1:6" x14ac:dyDescent="0.2">
      <c r="A38" s="9">
        <v>14</v>
      </c>
      <c r="B38" s="3">
        <v>16</v>
      </c>
      <c r="C38" s="12">
        <v>20.68</v>
      </c>
      <c r="D38" s="12">
        <v>1.3</v>
      </c>
      <c r="E38" s="10">
        <f t="shared" si="0"/>
        <v>26.884</v>
      </c>
      <c r="F38" s="8">
        <f t="shared" si="1"/>
        <v>15.907692307692306</v>
      </c>
    </row>
    <row r="39" spans="1:6" x14ac:dyDescent="0.2">
      <c r="A39" s="9">
        <v>15</v>
      </c>
      <c r="B39" s="3">
        <v>18</v>
      </c>
      <c r="C39" s="12">
        <v>20.82</v>
      </c>
      <c r="D39" s="12">
        <v>1.1599999999999999</v>
      </c>
      <c r="E39" s="10">
        <f t="shared" si="0"/>
        <v>24.151199999999999</v>
      </c>
      <c r="F39" s="8">
        <f t="shared" si="1"/>
        <v>17.948275862068968</v>
      </c>
    </row>
    <row r="40" spans="1:6" x14ac:dyDescent="0.2">
      <c r="A40" s="9">
        <v>16</v>
      </c>
      <c r="B40" s="3">
        <v>20</v>
      </c>
      <c r="C40" s="12">
        <v>20.93</v>
      </c>
      <c r="D40" s="12">
        <v>1.05</v>
      </c>
      <c r="E40" s="10">
        <f t="shared" si="0"/>
        <v>21.976500000000001</v>
      </c>
      <c r="F40" s="8">
        <f t="shared" si="1"/>
        <v>19.933333333333334</v>
      </c>
    </row>
    <row r="41" spans="1:6" x14ac:dyDescent="0.2">
      <c r="A41" s="9">
        <v>17</v>
      </c>
      <c r="B41" s="3">
        <v>24</v>
      </c>
      <c r="C41" s="12">
        <v>21.09</v>
      </c>
      <c r="D41" s="12">
        <v>0.88</v>
      </c>
      <c r="E41" s="10">
        <f t="shared" si="0"/>
        <v>18.559200000000001</v>
      </c>
      <c r="F41" s="8">
        <f t="shared" si="1"/>
        <v>23.96590909090909</v>
      </c>
    </row>
    <row r="42" spans="1:6" x14ac:dyDescent="0.2">
      <c r="A42" s="9">
        <v>18</v>
      </c>
      <c r="B42" s="3">
        <v>28</v>
      </c>
      <c r="C42" s="12">
        <v>21.21</v>
      </c>
      <c r="D42" s="12">
        <v>0.76</v>
      </c>
      <c r="E42" s="10">
        <f t="shared" si="0"/>
        <v>16.119600000000002</v>
      </c>
      <c r="F42" s="8">
        <f t="shared" si="1"/>
        <v>27.907894736842106</v>
      </c>
    </row>
    <row r="43" spans="1:6" x14ac:dyDescent="0.2">
      <c r="A43" s="9">
        <v>19</v>
      </c>
      <c r="B43" s="3">
        <v>33</v>
      </c>
      <c r="C43" s="12">
        <v>21.32</v>
      </c>
      <c r="D43" s="12">
        <v>0.65</v>
      </c>
      <c r="E43" s="10">
        <f t="shared" si="0"/>
        <v>13.858000000000001</v>
      </c>
      <c r="F43" s="8">
        <f t="shared" si="1"/>
        <v>32.799999999999997</v>
      </c>
    </row>
    <row r="44" spans="1:6" x14ac:dyDescent="0.2">
      <c r="A44" s="9">
        <v>20</v>
      </c>
      <c r="B44" s="3">
        <v>40</v>
      </c>
      <c r="C44" s="12">
        <v>21.43</v>
      </c>
      <c r="D44" s="12">
        <v>0.54</v>
      </c>
      <c r="E44" s="10">
        <f t="shared" si="0"/>
        <v>11.5722</v>
      </c>
      <c r="F44" s="8">
        <f t="shared" si="1"/>
        <v>39.685185185185183</v>
      </c>
    </row>
    <row r="45" spans="1:6" x14ac:dyDescent="0.2">
      <c r="A45" s="9">
        <v>21</v>
      </c>
      <c r="B45" s="3">
        <v>50</v>
      </c>
      <c r="C45" s="12">
        <v>21.54</v>
      </c>
      <c r="D45" s="12">
        <v>0.43</v>
      </c>
      <c r="E45" s="10">
        <f t="shared" si="0"/>
        <v>9.2622</v>
      </c>
      <c r="F45" s="8">
        <f t="shared" si="1"/>
        <v>50.093023255813954</v>
      </c>
    </row>
    <row r="46" spans="1:6" x14ac:dyDescent="0.2">
      <c r="A46" s="9">
        <v>22</v>
      </c>
      <c r="B46" s="3">
        <v>70</v>
      </c>
      <c r="C46" s="12">
        <v>21.66</v>
      </c>
      <c r="D46" s="12">
        <v>0.31</v>
      </c>
      <c r="E46" s="10">
        <f t="shared" si="0"/>
        <v>6.7145999999999999</v>
      </c>
      <c r="F46" s="8">
        <f t="shared" si="1"/>
        <v>69.870967741935488</v>
      </c>
    </row>
    <row r="47" spans="1:6" x14ac:dyDescent="0.2">
      <c r="A47" s="9">
        <v>23</v>
      </c>
      <c r="B47" s="3">
        <v>110</v>
      </c>
      <c r="C47" s="12">
        <v>21.76</v>
      </c>
      <c r="D47" s="12">
        <v>0.2</v>
      </c>
      <c r="E47" s="10">
        <f t="shared" si="0"/>
        <v>4.3520000000000003</v>
      </c>
      <c r="F47" s="8">
        <f t="shared" si="1"/>
        <v>108.8</v>
      </c>
    </row>
    <row r="48" spans="1:6" x14ac:dyDescent="0.2">
      <c r="A48" s="9">
        <v>24</v>
      </c>
      <c r="B48" s="3">
        <v>200</v>
      </c>
      <c r="C48" s="12">
        <v>21.84</v>
      </c>
      <c r="D48" s="12">
        <v>0.11</v>
      </c>
      <c r="E48" s="10">
        <f t="shared" si="0"/>
        <v>2.4024000000000001</v>
      </c>
      <c r="F48" s="8">
        <f t="shared" si="1"/>
        <v>198.54545454545453</v>
      </c>
    </row>
    <row r="49" spans="1:15" x14ac:dyDescent="0.2">
      <c r="A49" s="9">
        <v>25</v>
      </c>
      <c r="B49" s="3">
        <v>400</v>
      </c>
      <c r="C49" s="12">
        <v>21.86</v>
      </c>
      <c r="D49" s="12">
        <v>0.05</v>
      </c>
      <c r="E49" s="10">
        <f t="shared" si="0"/>
        <v>1.093</v>
      </c>
      <c r="F49" s="8">
        <f t="shared" si="1"/>
        <v>437.2</v>
      </c>
    </row>
    <row r="50" spans="1:15" ht="16" x14ac:dyDescent="0.2">
      <c r="A50" s="9">
        <v>26</v>
      </c>
      <c r="B50" s="3" t="s">
        <v>54</v>
      </c>
      <c r="C50" s="12">
        <v>21.89</v>
      </c>
      <c r="D50" s="12">
        <v>0</v>
      </c>
      <c r="E50" s="10">
        <f t="shared" si="0"/>
        <v>0</v>
      </c>
      <c r="F50" s="8" t="str">
        <f t="shared" si="1"/>
        <v>-</v>
      </c>
    </row>
    <row r="52" spans="1:15" ht="27.75" customHeight="1" x14ac:dyDescent="0.2">
      <c r="A52" s="88" t="s">
        <v>55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</row>
    <row r="58" spans="1:15" ht="45" x14ac:dyDescent="0.2">
      <c r="A58" s="2" t="s">
        <v>0</v>
      </c>
      <c r="B58" s="16">
        <v>46273</v>
      </c>
      <c r="D58" s="2" t="s">
        <v>1</v>
      </c>
      <c r="E58" s="13">
        <v>0.55555555555555558</v>
      </c>
      <c r="H58" s="1" t="s">
        <v>2</v>
      </c>
    </row>
    <row r="60" spans="1:15" x14ac:dyDescent="0.2">
      <c r="A60" s="86" t="s">
        <v>3</v>
      </c>
      <c r="B60" s="86"/>
    </row>
    <row r="61" spans="1:15" ht="16" x14ac:dyDescent="0.2">
      <c r="A61" s="5" t="s">
        <v>4</v>
      </c>
      <c r="B61" s="87" t="s">
        <v>65</v>
      </c>
      <c r="C61" s="87"/>
      <c r="D61" s="87"/>
    </row>
    <row r="62" spans="1:15" ht="16" x14ac:dyDescent="0.2">
      <c r="A62" s="5" t="s">
        <v>5</v>
      </c>
      <c r="B62" s="87" t="s">
        <v>66</v>
      </c>
      <c r="C62" s="87"/>
      <c r="D62" s="87"/>
    </row>
    <row r="63" spans="1:15" ht="16" x14ac:dyDescent="0.2">
      <c r="A63" s="5" t="s">
        <v>7</v>
      </c>
      <c r="B63" s="87" t="s">
        <v>8</v>
      </c>
      <c r="C63" s="87"/>
      <c r="D63" s="87"/>
    </row>
    <row r="64" spans="1:15" ht="16" x14ac:dyDescent="0.2">
      <c r="A64" s="5" t="s">
        <v>9</v>
      </c>
      <c r="B64" s="87"/>
      <c r="C64" s="87"/>
      <c r="D64" s="87"/>
    </row>
    <row r="66" spans="1:15" x14ac:dyDescent="0.2">
      <c r="A66" s="86" t="s">
        <v>11</v>
      </c>
      <c r="B66" s="86"/>
      <c r="C66" s="86"/>
      <c r="D66" s="86"/>
      <c r="I66" s="86" t="s">
        <v>12</v>
      </c>
      <c r="J66" s="86"/>
      <c r="K66" s="86"/>
      <c r="L66" s="86"/>
    </row>
    <row r="67" spans="1:15" ht="16" x14ac:dyDescent="0.2">
      <c r="A67" s="6" t="s">
        <v>13</v>
      </c>
      <c r="B67" s="6" t="s">
        <v>14</v>
      </c>
      <c r="C67" s="6" t="s">
        <v>15</v>
      </c>
      <c r="D67" s="6" t="s">
        <v>16</v>
      </c>
      <c r="F67" s="6" t="s">
        <v>17</v>
      </c>
      <c r="G67" s="6" t="s">
        <v>18</v>
      </c>
      <c r="I67" s="6" t="s">
        <v>13</v>
      </c>
      <c r="J67" s="6" t="s">
        <v>14</v>
      </c>
      <c r="K67" s="6" t="s">
        <v>15</v>
      </c>
      <c r="L67" s="6" t="s">
        <v>16</v>
      </c>
      <c r="N67" s="6" t="s">
        <v>17</v>
      </c>
      <c r="O67" s="6" t="s">
        <v>18</v>
      </c>
    </row>
    <row r="68" spans="1:15" ht="16" x14ac:dyDescent="0.2">
      <c r="A68" s="7" t="s">
        <v>19</v>
      </c>
      <c r="B68" s="3">
        <v>50</v>
      </c>
      <c r="C68" s="3">
        <v>50</v>
      </c>
      <c r="D68" s="3">
        <v>51.6</v>
      </c>
      <c r="F68" s="2" t="s">
        <v>20</v>
      </c>
      <c r="G68" s="8">
        <f>IFERROR(AVERAGE(B68:D70),"-")</f>
        <v>50.288888888888891</v>
      </c>
      <c r="I68" s="7" t="s">
        <v>19</v>
      </c>
      <c r="J68" s="3">
        <v>788</v>
      </c>
      <c r="K68" s="3">
        <v>786</v>
      </c>
      <c r="L68" s="3">
        <v>791</v>
      </c>
      <c r="N68" s="2" t="s">
        <v>20</v>
      </c>
      <c r="O68" s="8">
        <f>IFERROR(AVERAGE(J68:L70),"-")</f>
        <v>793.12222222222215</v>
      </c>
    </row>
    <row r="69" spans="1:15" ht="16" x14ac:dyDescent="0.2">
      <c r="A69" s="7" t="s">
        <v>21</v>
      </c>
      <c r="B69" s="4">
        <v>49</v>
      </c>
      <c r="C69" s="4">
        <v>59.1</v>
      </c>
      <c r="D69" s="4">
        <v>51.5</v>
      </c>
      <c r="F69" s="2" t="s">
        <v>22</v>
      </c>
      <c r="G69" s="8">
        <f>IFERROR(MIN(B68:D70),"-")</f>
        <v>46.1</v>
      </c>
      <c r="I69" s="7" t="s">
        <v>21</v>
      </c>
      <c r="J69" s="4">
        <v>785.4</v>
      </c>
      <c r="K69" s="4">
        <v>795</v>
      </c>
      <c r="L69" s="4">
        <v>796</v>
      </c>
      <c r="N69" s="2" t="s">
        <v>22</v>
      </c>
      <c r="O69" s="8">
        <f>IFERROR(MIN(J68:L70),"-")</f>
        <v>785.4</v>
      </c>
    </row>
    <row r="70" spans="1:15" ht="16" x14ac:dyDescent="0.2">
      <c r="A70" s="7" t="s">
        <v>23</v>
      </c>
      <c r="B70" s="4">
        <v>46.1</v>
      </c>
      <c r="C70" s="4">
        <v>48.3</v>
      </c>
      <c r="D70" s="4">
        <v>47</v>
      </c>
      <c r="F70" s="2" t="s">
        <v>24</v>
      </c>
      <c r="G70" s="8">
        <f>IFERROR(MAX(B68:D70),"-")</f>
        <v>59.1</v>
      </c>
      <c r="I70" s="7" t="s">
        <v>23</v>
      </c>
      <c r="J70" s="4">
        <v>798.7</v>
      </c>
      <c r="K70" s="4">
        <v>796</v>
      </c>
      <c r="L70" s="4">
        <v>802</v>
      </c>
      <c r="N70" s="2" t="s">
        <v>24</v>
      </c>
      <c r="O70" s="8">
        <f>IFERROR(MAX(J68:L70),"-")</f>
        <v>802</v>
      </c>
    </row>
    <row r="71" spans="1:15" x14ac:dyDescent="0.2">
      <c r="F71" s="2" t="s">
        <v>25</v>
      </c>
      <c r="G71" s="8">
        <f>IFERROR(G70-G69,"-")</f>
        <v>13</v>
      </c>
      <c r="N71" s="2" t="s">
        <v>25</v>
      </c>
      <c r="O71" s="8">
        <f>IFERROR(O70-O69,"-")</f>
        <v>16.600000000000023</v>
      </c>
    </row>
    <row r="72" spans="1:15" x14ac:dyDescent="0.2">
      <c r="F72" s="2" t="s">
        <v>26</v>
      </c>
      <c r="G72" s="8">
        <f>IFERROR(STDEV(B68:D70),"-")</f>
        <v>3.7909248358561682</v>
      </c>
      <c r="N72" s="2" t="s">
        <v>26</v>
      </c>
      <c r="O72" s="8">
        <f>IFERROR(STDEV(J68:L70),"-")</f>
        <v>5.8214641151899711</v>
      </c>
    </row>
    <row r="73" spans="1:15" x14ac:dyDescent="0.2">
      <c r="N73" s="2" t="s">
        <v>27</v>
      </c>
      <c r="O73" s="8">
        <f>IFERROR((1-((O70-O69)/(2*O68)))*100,"-")</f>
        <v>98.953503033019985</v>
      </c>
    </row>
    <row r="75" spans="1:15" x14ac:dyDescent="0.2">
      <c r="A75" s="86" t="s">
        <v>28</v>
      </c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</row>
    <row r="76" spans="1:15" ht="16" x14ac:dyDescent="0.2">
      <c r="A76" s="2" t="s">
        <v>29</v>
      </c>
      <c r="B76" s="3">
        <v>38.4</v>
      </c>
      <c r="D76" s="2" t="s">
        <v>30</v>
      </c>
      <c r="E76" s="3">
        <v>24.9</v>
      </c>
      <c r="G76" s="2" t="s">
        <v>31</v>
      </c>
      <c r="H76" s="3" t="s">
        <v>32</v>
      </c>
      <c r="K76" s="2" t="s">
        <v>33</v>
      </c>
      <c r="L76" s="3" t="s">
        <v>34</v>
      </c>
    </row>
    <row r="78" spans="1:15" x14ac:dyDescent="0.2">
      <c r="A78" s="86" t="s">
        <v>35</v>
      </c>
      <c r="B78" s="86"/>
      <c r="C78" s="86"/>
      <c r="D78" s="86"/>
      <c r="E78" s="86"/>
      <c r="F78" s="86"/>
      <c r="H78" s="86" t="s">
        <v>36</v>
      </c>
      <c r="I78" s="86"/>
    </row>
    <row r="79" spans="1:15" ht="16" x14ac:dyDescent="0.2">
      <c r="A79" s="6" t="s">
        <v>37</v>
      </c>
      <c r="B79" s="6" t="s">
        <v>38</v>
      </c>
      <c r="C79" s="6" t="s">
        <v>39</v>
      </c>
      <c r="D79" s="6" t="s">
        <v>40</v>
      </c>
      <c r="E79" s="6" t="s">
        <v>41</v>
      </c>
      <c r="F79" s="6" t="s">
        <v>42</v>
      </c>
      <c r="K79" s="17" t="s">
        <v>43</v>
      </c>
      <c r="L79" s="17" t="s">
        <v>44</v>
      </c>
    </row>
    <row r="80" spans="1:15" ht="16" x14ac:dyDescent="0.2">
      <c r="A80" s="9">
        <v>1</v>
      </c>
      <c r="B80" s="3">
        <v>2</v>
      </c>
      <c r="C80" s="12">
        <v>8.5399999999999991</v>
      </c>
      <c r="D80" s="12">
        <v>4.2300000000000004</v>
      </c>
      <c r="E80" s="10">
        <f t="shared" ref="E80:E105" si="2">IF(OR(C80="",D80=""),"-",C80*D80)</f>
        <v>36.124200000000002</v>
      </c>
      <c r="F80" s="8">
        <f t="shared" ref="F80:F105" si="3">IFERROR(C80/D80,"-")</f>
        <v>2.018912529550827</v>
      </c>
      <c r="H80" s="5" t="s">
        <v>45</v>
      </c>
      <c r="I80" s="10">
        <f>IFERROR(INDEX(C80:C105,MATCH("open",B80:B105,0)),"-")</f>
        <v>21.96</v>
      </c>
      <c r="K80" s="18">
        <f>IF(ISNUMBER(I81),0,NA())</f>
        <v>0</v>
      </c>
      <c r="L80" s="19">
        <f>IF(ISNUMBER(I81),MIN(I81,$L$22),NA())</f>
        <v>4.151290322580647</v>
      </c>
    </row>
    <row r="81" spans="1:12" ht="16" x14ac:dyDescent="0.2">
      <c r="A81" s="9">
        <v>2</v>
      </c>
      <c r="B81" s="3">
        <v>3</v>
      </c>
      <c r="C81" s="12">
        <v>12.88</v>
      </c>
      <c r="D81" s="12">
        <v>4.2699999999999996</v>
      </c>
      <c r="E81" s="10">
        <f t="shared" si="2"/>
        <v>54.997599999999998</v>
      </c>
      <c r="F81" s="8">
        <f t="shared" si="3"/>
        <v>3.0163934426229515</v>
      </c>
      <c r="H81" s="5" t="s">
        <v>46</v>
      </c>
      <c r="I81" s="11">
        <f>IFERROR(D80-C80*(D81-D80)/(C81-C80),"-")</f>
        <v>4.151290322580647</v>
      </c>
      <c r="K81" s="18">
        <f>IF(ISNUMBER(C80),C80,NA())</f>
        <v>8.5399999999999991</v>
      </c>
      <c r="L81" s="19">
        <f>IF(ISNUMBER(D80),D80,NA())</f>
        <v>4.2300000000000004</v>
      </c>
    </row>
    <row r="82" spans="1:12" ht="16" x14ac:dyDescent="0.2">
      <c r="A82" s="9">
        <v>3</v>
      </c>
      <c r="B82" s="3">
        <v>4</v>
      </c>
      <c r="C82" s="12">
        <v>15.95</v>
      </c>
      <c r="D82" s="12">
        <v>3.98</v>
      </c>
      <c r="E82" s="10">
        <f t="shared" si="2"/>
        <v>63.480999999999995</v>
      </c>
      <c r="F82" s="8">
        <f t="shared" si="3"/>
        <v>4.0075376884422109</v>
      </c>
      <c r="H82" s="5" t="s">
        <v>47</v>
      </c>
      <c r="I82" s="11">
        <f>IFERROR(MAX(E80:E105),"-")</f>
        <v>63.480999999999995</v>
      </c>
      <c r="K82" t="s">
        <v>48</v>
      </c>
      <c r="L82" t="str">
        <f>IF(NOT(ISNUMBER(I81)),"",IF(I81&gt;$L$22,"Yes","No"))</f>
        <v>No</v>
      </c>
    </row>
    <row r="83" spans="1:12" ht="16" x14ac:dyDescent="0.2">
      <c r="A83" s="9">
        <v>4</v>
      </c>
      <c r="B83" s="3">
        <v>5</v>
      </c>
      <c r="C83" s="12">
        <v>17.55</v>
      </c>
      <c r="D83" s="12">
        <v>3.5</v>
      </c>
      <c r="E83" s="10">
        <f t="shared" si="2"/>
        <v>61.425000000000004</v>
      </c>
      <c r="F83" s="8">
        <f t="shared" si="3"/>
        <v>5.0142857142857142</v>
      </c>
      <c r="H83" s="5" t="s">
        <v>49</v>
      </c>
      <c r="I83" s="10">
        <f>IFERROR(INDEX(C80:C105,MATCH(I82,E80:E105,0)),"-")</f>
        <v>15.95</v>
      </c>
    </row>
    <row r="84" spans="1:12" ht="16" x14ac:dyDescent="0.2">
      <c r="A84" s="9">
        <v>5</v>
      </c>
      <c r="B84" s="3">
        <v>6</v>
      </c>
      <c r="C84" s="12">
        <v>18.43</v>
      </c>
      <c r="D84" s="12">
        <v>3.07</v>
      </c>
      <c r="E84" s="10">
        <f t="shared" si="2"/>
        <v>56.580099999999995</v>
      </c>
      <c r="F84" s="8">
        <f t="shared" si="3"/>
        <v>6.0032573289902285</v>
      </c>
      <c r="H84" s="5" t="s">
        <v>50</v>
      </c>
      <c r="I84" s="10">
        <f>IFERROR(INDEX(D80:D105,MATCH(I82,E80:E105,0)),"-")</f>
        <v>3.98</v>
      </c>
    </row>
    <row r="85" spans="1:12" ht="16" x14ac:dyDescent="0.2">
      <c r="A85" s="9">
        <v>6</v>
      </c>
      <c r="B85" s="3">
        <v>7</v>
      </c>
      <c r="C85" s="12">
        <v>19</v>
      </c>
      <c r="D85" s="12">
        <v>2.71</v>
      </c>
      <c r="E85" s="10">
        <f t="shared" si="2"/>
        <v>51.49</v>
      </c>
      <c r="F85" s="8">
        <f t="shared" si="3"/>
        <v>7.0110701107011071</v>
      </c>
      <c r="H85" s="5" t="s">
        <v>51</v>
      </c>
      <c r="I85" s="14">
        <f>IFERROR(I83/I84,"-")</f>
        <v>4.0075376884422109</v>
      </c>
    </row>
    <row r="86" spans="1:12" ht="16" x14ac:dyDescent="0.2">
      <c r="A86" s="9">
        <v>7</v>
      </c>
      <c r="B86" s="3">
        <v>8</v>
      </c>
      <c r="C86" s="12">
        <v>19.399999999999999</v>
      </c>
      <c r="D86" s="12">
        <v>2.42</v>
      </c>
      <c r="E86" s="10">
        <f t="shared" si="2"/>
        <v>46.947999999999993</v>
      </c>
      <c r="F86" s="8">
        <f t="shared" si="3"/>
        <v>8.0165289256198342</v>
      </c>
      <c r="H86" s="5" t="s">
        <v>52</v>
      </c>
      <c r="I86" s="14">
        <f>IFERROR(I82/(I80*I81),"-")</f>
        <v>0.69635118125326478</v>
      </c>
    </row>
    <row r="87" spans="1:12" ht="16" x14ac:dyDescent="0.2">
      <c r="A87" s="9">
        <v>8</v>
      </c>
      <c r="B87" s="3">
        <v>9</v>
      </c>
      <c r="C87" s="12">
        <v>19.7</v>
      </c>
      <c r="D87" s="12">
        <v>2.19</v>
      </c>
      <c r="E87" s="10">
        <f t="shared" si="2"/>
        <v>43.143000000000001</v>
      </c>
      <c r="F87" s="8">
        <f t="shared" si="3"/>
        <v>8.9954337899543386</v>
      </c>
      <c r="H87" s="5" t="s">
        <v>53</v>
      </c>
      <c r="I87" s="15">
        <f>COUNT(D80:D105)</f>
        <v>26</v>
      </c>
    </row>
    <row r="88" spans="1:12" x14ac:dyDescent="0.2">
      <c r="A88" s="9">
        <v>9</v>
      </c>
      <c r="B88" s="3">
        <v>10</v>
      </c>
      <c r="C88" s="12">
        <v>19.93</v>
      </c>
      <c r="D88" s="12">
        <v>1.99</v>
      </c>
      <c r="E88" s="10">
        <f t="shared" si="2"/>
        <v>39.660699999999999</v>
      </c>
      <c r="F88" s="8">
        <f t="shared" si="3"/>
        <v>10.015075376884422</v>
      </c>
    </row>
    <row r="89" spans="1:12" x14ac:dyDescent="0.2">
      <c r="A89" s="9">
        <v>10</v>
      </c>
      <c r="B89" s="3">
        <v>11</v>
      </c>
      <c r="C89" s="12">
        <v>20.13</v>
      </c>
      <c r="D89" s="12">
        <v>1.83</v>
      </c>
      <c r="E89" s="10">
        <f t="shared" si="2"/>
        <v>36.837899999999998</v>
      </c>
      <c r="F89" s="8">
        <f t="shared" si="3"/>
        <v>10.999999999999998</v>
      </c>
    </row>
    <row r="90" spans="1:12" x14ac:dyDescent="0.2">
      <c r="A90" s="9">
        <v>11</v>
      </c>
      <c r="B90" s="3">
        <v>12</v>
      </c>
      <c r="C90" s="12">
        <v>20.29</v>
      </c>
      <c r="D90" s="12">
        <v>1.69</v>
      </c>
      <c r="E90" s="10">
        <f t="shared" si="2"/>
        <v>34.290099999999995</v>
      </c>
      <c r="F90" s="8">
        <f t="shared" si="3"/>
        <v>12.005917159763314</v>
      </c>
    </row>
    <row r="91" spans="1:12" x14ac:dyDescent="0.2">
      <c r="A91" s="9">
        <v>12</v>
      </c>
      <c r="B91" s="3">
        <v>13</v>
      </c>
      <c r="C91" s="12">
        <v>20.43</v>
      </c>
      <c r="D91" s="12">
        <v>1.57</v>
      </c>
      <c r="E91" s="10">
        <f t="shared" si="2"/>
        <v>32.075099999999999</v>
      </c>
      <c r="F91" s="8">
        <f t="shared" si="3"/>
        <v>13.012738853503183</v>
      </c>
    </row>
    <row r="92" spans="1:12" x14ac:dyDescent="0.2">
      <c r="A92" s="9">
        <v>13</v>
      </c>
      <c r="B92" s="3">
        <v>14</v>
      </c>
      <c r="C92" s="12">
        <v>20.53</v>
      </c>
      <c r="D92" s="12">
        <v>1.47</v>
      </c>
      <c r="E92" s="10">
        <f t="shared" si="2"/>
        <v>30.179100000000002</v>
      </c>
      <c r="F92" s="8">
        <f t="shared" si="3"/>
        <v>13.965986394557824</v>
      </c>
    </row>
    <row r="93" spans="1:12" x14ac:dyDescent="0.2">
      <c r="A93" s="9">
        <v>14</v>
      </c>
      <c r="B93" s="3">
        <v>16</v>
      </c>
      <c r="C93" s="12">
        <v>20.72</v>
      </c>
      <c r="D93" s="12">
        <v>1.3</v>
      </c>
      <c r="E93" s="10">
        <f t="shared" si="2"/>
        <v>26.936</v>
      </c>
      <c r="F93" s="8">
        <f t="shared" si="3"/>
        <v>15.938461538461537</v>
      </c>
    </row>
    <row r="94" spans="1:12" x14ac:dyDescent="0.2">
      <c r="A94" s="9">
        <v>15</v>
      </c>
      <c r="B94" s="3">
        <v>18</v>
      </c>
      <c r="C94" s="12">
        <v>20.79</v>
      </c>
      <c r="D94" s="12">
        <v>1.22</v>
      </c>
      <c r="E94" s="10">
        <f t="shared" si="2"/>
        <v>25.363799999999998</v>
      </c>
      <c r="F94" s="8">
        <f t="shared" si="3"/>
        <v>17.040983606557376</v>
      </c>
    </row>
    <row r="95" spans="1:12" x14ac:dyDescent="0.2">
      <c r="A95" s="9">
        <v>16</v>
      </c>
      <c r="B95" s="3">
        <v>20</v>
      </c>
      <c r="C95" s="12">
        <v>20.98</v>
      </c>
      <c r="D95" s="12">
        <v>1.05</v>
      </c>
      <c r="E95" s="10">
        <f t="shared" si="2"/>
        <v>22.029</v>
      </c>
      <c r="F95" s="8">
        <f t="shared" si="3"/>
        <v>19.980952380952381</v>
      </c>
    </row>
    <row r="96" spans="1:12" x14ac:dyDescent="0.2">
      <c r="A96" s="9">
        <v>17</v>
      </c>
      <c r="B96" s="3">
        <v>24</v>
      </c>
      <c r="C96" s="12">
        <v>21.15</v>
      </c>
      <c r="D96" s="12">
        <v>0.88</v>
      </c>
      <c r="E96" s="10">
        <f t="shared" si="2"/>
        <v>18.611999999999998</v>
      </c>
      <c r="F96" s="8">
        <f t="shared" si="3"/>
        <v>24.034090909090907</v>
      </c>
    </row>
    <row r="97" spans="1:15" x14ac:dyDescent="0.2">
      <c r="A97" s="9">
        <v>18</v>
      </c>
      <c r="B97" s="3">
        <v>28</v>
      </c>
      <c r="C97" s="12">
        <v>21.27</v>
      </c>
      <c r="D97" s="12">
        <v>0.76</v>
      </c>
      <c r="E97" s="10">
        <f t="shared" si="2"/>
        <v>16.165199999999999</v>
      </c>
      <c r="F97" s="8">
        <f t="shared" si="3"/>
        <v>27.986842105263158</v>
      </c>
    </row>
    <row r="98" spans="1:15" x14ac:dyDescent="0.2">
      <c r="A98" s="9">
        <v>19</v>
      </c>
      <c r="B98" s="3">
        <v>33</v>
      </c>
      <c r="C98" s="12">
        <v>21.38</v>
      </c>
      <c r="D98" s="12">
        <v>0.65</v>
      </c>
      <c r="E98" s="10">
        <f t="shared" si="2"/>
        <v>13.897</v>
      </c>
      <c r="F98" s="8">
        <f t="shared" si="3"/>
        <v>32.892307692307689</v>
      </c>
    </row>
    <row r="99" spans="1:15" x14ac:dyDescent="0.2">
      <c r="A99" s="9">
        <v>20</v>
      </c>
      <c r="B99" s="3">
        <v>40</v>
      </c>
      <c r="C99" s="12">
        <v>21.48</v>
      </c>
      <c r="D99" s="12">
        <v>0.54</v>
      </c>
      <c r="E99" s="10">
        <f t="shared" si="2"/>
        <v>11.599200000000002</v>
      </c>
      <c r="F99" s="8">
        <f t="shared" si="3"/>
        <v>39.777777777777779</v>
      </c>
    </row>
    <row r="100" spans="1:15" x14ac:dyDescent="0.2">
      <c r="A100" s="9">
        <v>21</v>
      </c>
      <c r="B100" s="3">
        <v>50</v>
      </c>
      <c r="C100" s="12">
        <v>21.57</v>
      </c>
      <c r="D100" s="12">
        <v>0.43</v>
      </c>
      <c r="E100" s="10">
        <f t="shared" si="2"/>
        <v>9.2751000000000001</v>
      </c>
      <c r="F100" s="8">
        <f t="shared" si="3"/>
        <v>50.162790697674417</v>
      </c>
    </row>
    <row r="101" spans="1:15" x14ac:dyDescent="0.2">
      <c r="A101" s="9">
        <v>22</v>
      </c>
      <c r="B101" s="3">
        <v>70</v>
      </c>
      <c r="C101" s="12">
        <v>21.68</v>
      </c>
      <c r="D101" s="12">
        <v>0.31</v>
      </c>
      <c r="E101" s="10">
        <f t="shared" si="2"/>
        <v>6.7207999999999997</v>
      </c>
      <c r="F101" s="8">
        <f t="shared" si="3"/>
        <v>69.935483870967744</v>
      </c>
    </row>
    <row r="102" spans="1:15" x14ac:dyDescent="0.2">
      <c r="A102" s="9">
        <v>23</v>
      </c>
      <c r="B102" s="3">
        <v>110</v>
      </c>
      <c r="C102" s="12">
        <v>21.78</v>
      </c>
      <c r="D102" s="12">
        <v>0.2</v>
      </c>
      <c r="E102" s="10">
        <f t="shared" si="2"/>
        <v>4.3560000000000008</v>
      </c>
      <c r="F102" s="8">
        <f t="shared" si="3"/>
        <v>108.9</v>
      </c>
    </row>
    <row r="103" spans="1:15" x14ac:dyDescent="0.2">
      <c r="A103" s="9">
        <v>24</v>
      </c>
      <c r="B103" s="3">
        <v>200</v>
      </c>
      <c r="C103" s="12">
        <v>21.86</v>
      </c>
      <c r="D103" s="12">
        <v>0.11</v>
      </c>
      <c r="E103" s="10">
        <f t="shared" si="2"/>
        <v>2.4045999999999998</v>
      </c>
      <c r="F103" s="8">
        <f t="shared" si="3"/>
        <v>198.72727272727272</v>
      </c>
    </row>
    <row r="104" spans="1:15" x14ac:dyDescent="0.2">
      <c r="A104" s="9">
        <v>25</v>
      </c>
      <c r="B104" s="3">
        <v>400</v>
      </c>
      <c r="C104" s="12">
        <v>21.91</v>
      </c>
      <c r="D104" s="12">
        <v>0.05</v>
      </c>
      <c r="E104" s="10">
        <f t="shared" si="2"/>
        <v>1.0955000000000001</v>
      </c>
      <c r="F104" s="8">
        <f t="shared" si="3"/>
        <v>438.2</v>
      </c>
    </row>
    <row r="105" spans="1:15" ht="16" x14ac:dyDescent="0.2">
      <c r="A105" s="9">
        <v>26</v>
      </c>
      <c r="B105" s="3" t="s">
        <v>54</v>
      </c>
      <c r="C105" s="12">
        <v>21.96</v>
      </c>
      <c r="D105" s="12">
        <v>0</v>
      </c>
      <c r="E105" s="10">
        <f t="shared" si="2"/>
        <v>0</v>
      </c>
      <c r="F105" s="8" t="str">
        <f t="shared" si="3"/>
        <v>-</v>
      </c>
    </row>
    <row r="107" spans="1:15" x14ac:dyDescent="0.2">
      <c r="A107" s="88" t="s">
        <v>55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</row>
    <row r="115" spans="1:15" ht="45" x14ac:dyDescent="0.2">
      <c r="A115" s="2" t="s">
        <v>0</v>
      </c>
      <c r="B115" s="16">
        <v>46273</v>
      </c>
      <c r="D115" s="2" t="s">
        <v>1</v>
      </c>
      <c r="E115" s="13">
        <v>0.56944444444444442</v>
      </c>
      <c r="H115" s="1" t="s">
        <v>2</v>
      </c>
    </row>
    <row r="117" spans="1:15" x14ac:dyDescent="0.2">
      <c r="A117" s="86" t="s">
        <v>3</v>
      </c>
      <c r="B117" s="86"/>
    </row>
    <row r="118" spans="1:15" ht="16" x14ac:dyDescent="0.2">
      <c r="A118" s="5" t="s">
        <v>4</v>
      </c>
      <c r="B118" s="87" t="s">
        <v>65</v>
      </c>
      <c r="C118" s="87"/>
      <c r="D118" s="87"/>
    </row>
    <row r="119" spans="1:15" ht="16" x14ac:dyDescent="0.2">
      <c r="A119" s="5" t="s">
        <v>5</v>
      </c>
      <c r="B119" s="87" t="s">
        <v>66</v>
      </c>
      <c r="C119" s="87"/>
      <c r="D119" s="87"/>
    </row>
    <row r="120" spans="1:15" ht="16" x14ac:dyDescent="0.2">
      <c r="A120" s="5" t="s">
        <v>7</v>
      </c>
      <c r="B120" s="87" t="s">
        <v>8</v>
      </c>
      <c r="C120" s="87"/>
      <c r="D120" s="87"/>
    </row>
    <row r="121" spans="1:15" ht="16" x14ac:dyDescent="0.2">
      <c r="A121" s="5" t="s">
        <v>9</v>
      </c>
      <c r="B121" s="87"/>
      <c r="C121" s="87"/>
      <c r="D121" s="87"/>
    </row>
    <row r="123" spans="1:15" x14ac:dyDescent="0.2">
      <c r="A123" s="86" t="s">
        <v>11</v>
      </c>
      <c r="B123" s="86"/>
      <c r="C123" s="86"/>
      <c r="D123" s="86"/>
      <c r="I123" s="86" t="s">
        <v>12</v>
      </c>
      <c r="J123" s="86"/>
      <c r="K123" s="86"/>
      <c r="L123" s="86"/>
    </row>
    <row r="124" spans="1:15" ht="16" x14ac:dyDescent="0.2">
      <c r="A124" s="6" t="s">
        <v>13</v>
      </c>
      <c r="B124" s="6" t="s">
        <v>14</v>
      </c>
      <c r="C124" s="6" t="s">
        <v>15</v>
      </c>
      <c r="D124" s="6" t="s">
        <v>16</v>
      </c>
      <c r="F124" s="6" t="s">
        <v>17</v>
      </c>
      <c r="G124" s="6" t="s">
        <v>18</v>
      </c>
      <c r="I124" s="6" t="s">
        <v>13</v>
      </c>
      <c r="J124" s="6" t="s">
        <v>14</v>
      </c>
      <c r="K124" s="6" t="s">
        <v>15</v>
      </c>
      <c r="L124" s="6" t="s">
        <v>16</v>
      </c>
      <c r="N124" s="6" t="s">
        <v>17</v>
      </c>
      <c r="O124" s="6" t="s">
        <v>18</v>
      </c>
    </row>
    <row r="125" spans="1:15" ht="16" x14ac:dyDescent="0.2">
      <c r="A125" s="7" t="s">
        <v>19</v>
      </c>
      <c r="B125" s="3">
        <v>52.9</v>
      </c>
      <c r="C125" s="3">
        <v>54.2</v>
      </c>
      <c r="D125" s="3">
        <v>53.9</v>
      </c>
      <c r="F125" s="2" t="s">
        <v>20</v>
      </c>
      <c r="G125" s="8">
        <f>IFERROR(AVERAGE(B125:D127),"-")</f>
        <v>52.366666666666667</v>
      </c>
      <c r="I125" s="7" t="s">
        <v>19</v>
      </c>
      <c r="J125" s="3">
        <v>753.7</v>
      </c>
      <c r="K125" s="3">
        <v>812.7</v>
      </c>
      <c r="L125" s="3">
        <v>816.5</v>
      </c>
      <c r="N125" s="2" t="s">
        <v>20</v>
      </c>
      <c r="O125" s="8">
        <f>IFERROR(AVERAGE(J125:L127),"-")</f>
        <v>814.16666666666652</v>
      </c>
    </row>
    <row r="126" spans="1:15" ht="16" x14ac:dyDescent="0.2">
      <c r="A126" s="7" t="s">
        <v>21</v>
      </c>
      <c r="B126" s="4">
        <v>50.9</v>
      </c>
      <c r="C126" s="4">
        <v>55.3</v>
      </c>
      <c r="D126" s="4">
        <v>52.6</v>
      </c>
      <c r="F126" s="2" t="s">
        <v>22</v>
      </c>
      <c r="G126" s="8">
        <f>IFERROR(MIN(B125:D127),"-")</f>
        <v>49.1</v>
      </c>
      <c r="I126" s="7" t="s">
        <v>21</v>
      </c>
      <c r="J126" s="4">
        <v>818</v>
      </c>
      <c r="K126" s="4">
        <v>821.8</v>
      </c>
      <c r="L126" s="4">
        <v>820</v>
      </c>
      <c r="N126" s="2" t="s">
        <v>22</v>
      </c>
      <c r="O126" s="8">
        <f>IFERROR(MIN(J125:L127),"-")</f>
        <v>753.7</v>
      </c>
    </row>
    <row r="127" spans="1:15" ht="16" x14ac:dyDescent="0.2">
      <c r="A127" s="7" t="s">
        <v>23</v>
      </c>
      <c r="B127" s="4">
        <v>49.1</v>
      </c>
      <c r="C127" s="4">
        <v>52.5</v>
      </c>
      <c r="D127" s="4">
        <v>49.9</v>
      </c>
      <c r="F127" s="2" t="s">
        <v>24</v>
      </c>
      <c r="G127" s="8">
        <f>IFERROR(MAX(B125:D127),"-")</f>
        <v>55.3</v>
      </c>
      <c r="I127" s="7" t="s">
        <v>23</v>
      </c>
      <c r="J127" s="4">
        <v>823</v>
      </c>
      <c r="K127" s="4">
        <v>829.9</v>
      </c>
      <c r="L127" s="4">
        <v>831.9</v>
      </c>
      <c r="N127" s="2" t="s">
        <v>24</v>
      </c>
      <c r="O127" s="8">
        <f>IFERROR(MAX(J125:L127),"-")</f>
        <v>831.9</v>
      </c>
    </row>
    <row r="128" spans="1:15" x14ac:dyDescent="0.2">
      <c r="F128" s="2" t="s">
        <v>25</v>
      </c>
      <c r="G128" s="8">
        <f>IFERROR(G127-G126,"-")</f>
        <v>6.1999999999999957</v>
      </c>
      <c r="N128" s="2" t="s">
        <v>25</v>
      </c>
      <c r="O128" s="8">
        <f>IFERROR(O127-O126,"-")</f>
        <v>78.199999999999932</v>
      </c>
    </row>
    <row r="129" spans="1:15" x14ac:dyDescent="0.2">
      <c r="F129" s="2" t="s">
        <v>26</v>
      </c>
      <c r="G129" s="8">
        <f>IFERROR(STDEV(B125:D127),"-")</f>
        <v>2.0487801248547877</v>
      </c>
      <c r="N129" s="2" t="s">
        <v>26</v>
      </c>
      <c r="O129" s="8">
        <f>IFERROR(STDEV(J125:L127),"-")</f>
        <v>23.480949725255982</v>
      </c>
    </row>
    <row r="130" spans="1:15" x14ac:dyDescent="0.2">
      <c r="N130" s="2" t="s">
        <v>27</v>
      </c>
      <c r="O130" s="8">
        <f>IFERROR((1-((O127-O126)/(2*O125)))*100,"-")</f>
        <v>95.19754350051177</v>
      </c>
    </row>
    <row r="132" spans="1:15" x14ac:dyDescent="0.2">
      <c r="A132" s="86" t="s">
        <v>28</v>
      </c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</row>
    <row r="133" spans="1:15" ht="16" x14ac:dyDescent="0.2">
      <c r="A133" s="2" t="s">
        <v>29</v>
      </c>
      <c r="B133" s="3">
        <v>38.4</v>
      </c>
      <c r="D133" s="2" t="s">
        <v>30</v>
      </c>
      <c r="E133" s="3">
        <v>24.9</v>
      </c>
      <c r="G133" s="2" t="s">
        <v>31</v>
      </c>
      <c r="H133" s="3" t="s">
        <v>32</v>
      </c>
      <c r="K133" s="2" t="s">
        <v>33</v>
      </c>
      <c r="L133" s="3" t="s">
        <v>34</v>
      </c>
    </row>
    <row r="135" spans="1:15" x14ac:dyDescent="0.2">
      <c r="A135" s="86" t="s">
        <v>35</v>
      </c>
      <c r="B135" s="86"/>
      <c r="C135" s="86"/>
      <c r="D135" s="86"/>
      <c r="E135" s="86"/>
      <c r="F135" s="86"/>
      <c r="H135" s="86" t="s">
        <v>36</v>
      </c>
      <c r="I135" s="86"/>
    </row>
    <row r="136" spans="1:15" ht="16" x14ac:dyDescent="0.2">
      <c r="A136" s="6" t="s">
        <v>37</v>
      </c>
      <c r="B136" s="6" t="s">
        <v>38</v>
      </c>
      <c r="C136" s="6" t="s">
        <v>39</v>
      </c>
      <c r="D136" s="6" t="s">
        <v>40</v>
      </c>
      <c r="E136" s="6" t="s">
        <v>41</v>
      </c>
      <c r="F136" s="6" t="s">
        <v>42</v>
      </c>
      <c r="K136" s="17" t="s">
        <v>43</v>
      </c>
      <c r="L136" s="17" t="s">
        <v>44</v>
      </c>
    </row>
    <row r="137" spans="1:15" ht="16" x14ac:dyDescent="0.2">
      <c r="A137" s="9">
        <v>1</v>
      </c>
      <c r="B137" s="3">
        <v>2</v>
      </c>
      <c r="C137" s="12">
        <v>8.64</v>
      </c>
      <c r="D137" s="12">
        <v>4.3499999999999996</v>
      </c>
      <c r="E137" s="10">
        <f t="shared" ref="E137:E162" si="4">IF(OR(C137="",D137=""),"-",C137*D137)</f>
        <v>37.583999999999996</v>
      </c>
      <c r="F137" s="8">
        <f t="shared" ref="F137:F162" si="5">IFERROR(C137/D137,"-")</f>
        <v>1.9862068965517243</v>
      </c>
      <c r="H137" s="5" t="s">
        <v>45</v>
      </c>
      <c r="I137" s="10">
        <f>IFERROR(INDEX(C137:C162,MATCH("open",B137:B162,0)),"-")</f>
        <v>21.9</v>
      </c>
      <c r="K137" s="18">
        <f>IF(ISNUMBER(I138),0,NA())</f>
        <v>0</v>
      </c>
      <c r="L137" s="19">
        <f>IF(ISNUMBER(I138),MIN(I138,$L$22),NA())</f>
        <v>4.4087755102040802</v>
      </c>
    </row>
    <row r="138" spans="1:15" ht="16" x14ac:dyDescent="0.2">
      <c r="A138" s="9">
        <v>2</v>
      </c>
      <c r="B138" s="3">
        <v>3</v>
      </c>
      <c r="C138" s="12">
        <v>13.05</v>
      </c>
      <c r="D138" s="12">
        <v>4.32</v>
      </c>
      <c r="E138" s="10">
        <f t="shared" si="4"/>
        <v>56.376000000000005</v>
      </c>
      <c r="F138" s="8">
        <f t="shared" si="5"/>
        <v>3.0208333333333335</v>
      </c>
      <c r="H138" s="5" t="s">
        <v>46</v>
      </c>
      <c r="I138" s="11">
        <f>IFERROR(D137-C137*(D138-D137)/(C138-C137),"-")</f>
        <v>4.4087755102040802</v>
      </c>
      <c r="K138" s="18">
        <f>IF(ISNUMBER(C137),C137,NA())</f>
        <v>8.64</v>
      </c>
      <c r="L138" s="19">
        <f>IF(ISNUMBER(D137),D137,NA())</f>
        <v>4.3499999999999996</v>
      </c>
    </row>
    <row r="139" spans="1:15" ht="16" x14ac:dyDescent="0.2">
      <c r="A139" s="9">
        <v>3</v>
      </c>
      <c r="B139" s="3">
        <v>4</v>
      </c>
      <c r="C139" s="12">
        <v>16.03</v>
      </c>
      <c r="D139" s="12">
        <v>4</v>
      </c>
      <c r="E139" s="10">
        <f t="shared" si="4"/>
        <v>64.12</v>
      </c>
      <c r="F139" s="8">
        <f t="shared" si="5"/>
        <v>4.0075000000000003</v>
      </c>
      <c r="H139" s="5" t="s">
        <v>47</v>
      </c>
      <c r="I139" s="11">
        <f>IFERROR(MAX(E137:E162),"-")</f>
        <v>64.12</v>
      </c>
      <c r="K139" t="s">
        <v>48</v>
      </c>
      <c r="L139" t="str">
        <f>IF(NOT(ISNUMBER(I138)),"",IF(I138&gt;$L$22,"Yes","No"))</f>
        <v>No</v>
      </c>
    </row>
    <row r="140" spans="1:15" ht="16" x14ac:dyDescent="0.2">
      <c r="A140" s="9">
        <v>4</v>
      </c>
      <c r="B140" s="3">
        <v>5</v>
      </c>
      <c r="C140" s="12">
        <v>17.52</v>
      </c>
      <c r="D140" s="12">
        <v>3.5</v>
      </c>
      <c r="E140" s="10">
        <f t="shared" si="4"/>
        <v>61.32</v>
      </c>
      <c r="F140" s="8">
        <f t="shared" si="5"/>
        <v>5.0057142857142853</v>
      </c>
      <c r="H140" s="5" t="s">
        <v>49</v>
      </c>
      <c r="I140" s="10">
        <f>IFERROR(INDEX(C137:C162,MATCH(I139,E137:E162,0)),"-")</f>
        <v>16.03</v>
      </c>
    </row>
    <row r="141" spans="1:15" ht="16" x14ac:dyDescent="0.2">
      <c r="A141" s="9">
        <v>5</v>
      </c>
      <c r="B141" s="3">
        <v>6</v>
      </c>
      <c r="C141" s="12">
        <v>18.36</v>
      </c>
      <c r="D141" s="12">
        <v>3.06</v>
      </c>
      <c r="E141" s="10">
        <f t="shared" si="4"/>
        <v>56.181599999999996</v>
      </c>
      <c r="F141" s="8">
        <f t="shared" si="5"/>
        <v>6</v>
      </c>
      <c r="H141" s="5" t="s">
        <v>50</v>
      </c>
      <c r="I141" s="10">
        <f>IFERROR(INDEX(D137:D162,MATCH(I139,E137:E162,0)),"-")</f>
        <v>4</v>
      </c>
    </row>
    <row r="142" spans="1:15" ht="16" x14ac:dyDescent="0.2">
      <c r="A142" s="9">
        <v>6</v>
      </c>
      <c r="B142" s="3">
        <v>7</v>
      </c>
      <c r="C142" s="12">
        <v>18.91</v>
      </c>
      <c r="D142" s="12">
        <v>2.7</v>
      </c>
      <c r="E142" s="10">
        <f t="shared" si="4"/>
        <v>51.057000000000002</v>
      </c>
      <c r="F142" s="8">
        <f t="shared" si="5"/>
        <v>7.0037037037037031</v>
      </c>
      <c r="H142" s="5" t="s">
        <v>51</v>
      </c>
      <c r="I142" s="14">
        <f>IFERROR(I140/I141,"-")</f>
        <v>4.0075000000000003</v>
      </c>
    </row>
    <row r="143" spans="1:15" ht="16" x14ac:dyDescent="0.2">
      <c r="A143" s="9">
        <v>7</v>
      </c>
      <c r="B143" s="3">
        <v>8</v>
      </c>
      <c r="C143" s="12">
        <v>19.309999999999999</v>
      </c>
      <c r="D143" s="12">
        <v>2.41</v>
      </c>
      <c r="E143" s="10">
        <f t="shared" si="4"/>
        <v>46.537100000000002</v>
      </c>
      <c r="F143" s="8">
        <f t="shared" si="5"/>
        <v>8.0124481327800812</v>
      </c>
      <c r="H143" s="5" t="s">
        <v>52</v>
      </c>
      <c r="I143" s="14">
        <f>IFERROR(I139/(I137*I138),"-")</f>
        <v>0.66409683924755114</v>
      </c>
    </row>
    <row r="144" spans="1:15" ht="16" x14ac:dyDescent="0.2">
      <c r="A144" s="9">
        <v>8</v>
      </c>
      <c r="B144" s="3">
        <v>9</v>
      </c>
      <c r="C144" s="12">
        <v>19.61</v>
      </c>
      <c r="D144" s="12">
        <v>2.1800000000000002</v>
      </c>
      <c r="E144" s="10">
        <f t="shared" si="4"/>
        <v>42.7498</v>
      </c>
      <c r="F144" s="8">
        <f t="shared" si="5"/>
        <v>8.9954128440366965</v>
      </c>
      <c r="H144" s="5" t="s">
        <v>53</v>
      </c>
      <c r="I144" s="15">
        <f>COUNT(D137:D162)</f>
        <v>26</v>
      </c>
    </row>
    <row r="145" spans="1:6" x14ac:dyDescent="0.2">
      <c r="A145" s="9">
        <v>9</v>
      </c>
      <c r="B145" s="3">
        <v>10</v>
      </c>
      <c r="C145" s="12">
        <v>19.84</v>
      </c>
      <c r="D145" s="12">
        <v>1.99</v>
      </c>
      <c r="E145" s="10">
        <f t="shared" si="4"/>
        <v>39.4816</v>
      </c>
      <c r="F145" s="8">
        <f t="shared" si="5"/>
        <v>9.9698492462311563</v>
      </c>
    </row>
    <row r="146" spans="1:6" x14ac:dyDescent="0.2">
      <c r="A146" s="9">
        <v>10</v>
      </c>
      <c r="B146" s="3">
        <v>11</v>
      </c>
      <c r="C146" s="12">
        <v>20.03</v>
      </c>
      <c r="D146" s="12">
        <v>1.82</v>
      </c>
      <c r="E146" s="10">
        <f t="shared" si="4"/>
        <v>36.454600000000006</v>
      </c>
      <c r="F146" s="8">
        <f t="shared" si="5"/>
        <v>11.005494505494505</v>
      </c>
    </row>
    <row r="147" spans="1:6" x14ac:dyDescent="0.2">
      <c r="A147" s="9">
        <v>11</v>
      </c>
      <c r="B147" s="3">
        <v>12</v>
      </c>
      <c r="C147" s="12">
        <v>20.190000000000001</v>
      </c>
      <c r="D147" s="12">
        <v>1.68</v>
      </c>
      <c r="E147" s="10">
        <f t="shared" si="4"/>
        <v>33.919200000000004</v>
      </c>
      <c r="F147" s="8">
        <f t="shared" si="5"/>
        <v>12.017857142857144</v>
      </c>
    </row>
    <row r="148" spans="1:6" x14ac:dyDescent="0.2">
      <c r="A148" s="9">
        <v>12</v>
      </c>
      <c r="B148" s="3">
        <v>13</v>
      </c>
      <c r="C148" s="12">
        <v>20.32</v>
      </c>
      <c r="D148" s="12">
        <v>1.57</v>
      </c>
      <c r="E148" s="10">
        <f t="shared" si="4"/>
        <v>31.9024</v>
      </c>
      <c r="F148" s="8">
        <f t="shared" si="5"/>
        <v>12.942675159235668</v>
      </c>
    </row>
    <row r="149" spans="1:6" x14ac:dyDescent="0.2">
      <c r="A149" s="9">
        <v>13</v>
      </c>
      <c r="B149" s="3">
        <v>14</v>
      </c>
      <c r="C149" s="12">
        <v>20.43</v>
      </c>
      <c r="D149" s="12">
        <v>1.46</v>
      </c>
      <c r="E149" s="10">
        <f t="shared" si="4"/>
        <v>29.8278</v>
      </c>
      <c r="F149" s="8">
        <f t="shared" si="5"/>
        <v>13.993150684931507</v>
      </c>
    </row>
    <row r="150" spans="1:6" x14ac:dyDescent="0.2">
      <c r="A150" s="9">
        <v>14</v>
      </c>
      <c r="B150" s="3">
        <v>16</v>
      </c>
      <c r="C150" s="12">
        <v>20.61</v>
      </c>
      <c r="D150" s="12">
        <v>1.29</v>
      </c>
      <c r="E150" s="10">
        <f t="shared" si="4"/>
        <v>26.5869</v>
      </c>
      <c r="F150" s="8">
        <f t="shared" si="5"/>
        <v>15.976744186046512</v>
      </c>
    </row>
    <row r="151" spans="1:6" x14ac:dyDescent="0.2">
      <c r="A151" s="9">
        <v>15</v>
      </c>
      <c r="B151" s="3">
        <v>18</v>
      </c>
      <c r="C151" s="12">
        <v>20.07</v>
      </c>
      <c r="D151" s="12">
        <v>1.1499999999999999</v>
      </c>
      <c r="E151" s="10">
        <f t="shared" si="4"/>
        <v>23.080499999999997</v>
      </c>
      <c r="F151" s="8">
        <f t="shared" si="5"/>
        <v>17.452173913043481</v>
      </c>
    </row>
    <row r="152" spans="1:6" x14ac:dyDescent="0.2">
      <c r="A152" s="9">
        <v>16</v>
      </c>
      <c r="B152" s="3">
        <v>20</v>
      </c>
      <c r="C152" s="12">
        <v>20.88</v>
      </c>
      <c r="D152" s="12">
        <v>1.05</v>
      </c>
      <c r="E152" s="10">
        <f t="shared" si="4"/>
        <v>21.923999999999999</v>
      </c>
      <c r="F152" s="8">
        <f t="shared" si="5"/>
        <v>19.885714285714283</v>
      </c>
    </row>
    <row r="153" spans="1:6" x14ac:dyDescent="0.2">
      <c r="A153" s="9">
        <v>17</v>
      </c>
      <c r="B153" s="3">
        <v>24</v>
      </c>
      <c r="C153" s="12">
        <v>21.05</v>
      </c>
      <c r="D153" s="12">
        <v>0.88</v>
      </c>
      <c r="E153" s="10">
        <f t="shared" si="4"/>
        <v>18.524000000000001</v>
      </c>
      <c r="F153" s="8">
        <f t="shared" si="5"/>
        <v>23.920454545454547</v>
      </c>
    </row>
    <row r="154" spans="1:6" x14ac:dyDescent="0.2">
      <c r="A154" s="9">
        <v>18</v>
      </c>
      <c r="B154" s="3">
        <v>28</v>
      </c>
      <c r="C154" s="12">
        <v>21.18</v>
      </c>
      <c r="D154" s="12">
        <v>0.76</v>
      </c>
      <c r="E154" s="10">
        <f t="shared" si="4"/>
        <v>16.096799999999998</v>
      </c>
      <c r="F154" s="8">
        <f t="shared" si="5"/>
        <v>27.868421052631579</v>
      </c>
    </row>
    <row r="155" spans="1:6" x14ac:dyDescent="0.2">
      <c r="A155" s="9">
        <v>19</v>
      </c>
      <c r="B155" s="3">
        <v>33</v>
      </c>
      <c r="C155" s="12">
        <v>21.28</v>
      </c>
      <c r="D155" s="12">
        <v>0.65</v>
      </c>
      <c r="E155" s="10">
        <f t="shared" si="4"/>
        <v>13.832000000000001</v>
      </c>
      <c r="F155" s="8">
        <f t="shared" si="5"/>
        <v>32.738461538461536</v>
      </c>
    </row>
    <row r="156" spans="1:6" x14ac:dyDescent="0.2">
      <c r="A156" s="9">
        <v>20</v>
      </c>
      <c r="B156" s="3">
        <v>40</v>
      </c>
      <c r="C156" s="12">
        <v>21.39</v>
      </c>
      <c r="D156" s="12">
        <v>0.53</v>
      </c>
      <c r="E156" s="10">
        <f t="shared" si="4"/>
        <v>11.3367</v>
      </c>
      <c r="F156" s="8">
        <f t="shared" si="5"/>
        <v>40.358490566037737</v>
      </c>
    </row>
    <row r="157" spans="1:6" x14ac:dyDescent="0.2">
      <c r="A157" s="9">
        <v>21</v>
      </c>
      <c r="B157" s="3">
        <v>50</v>
      </c>
      <c r="C157" s="12">
        <v>21.49</v>
      </c>
      <c r="D157" s="12">
        <v>0.43</v>
      </c>
      <c r="E157" s="10">
        <f t="shared" si="4"/>
        <v>9.2406999999999986</v>
      </c>
      <c r="F157" s="8">
        <f t="shared" si="5"/>
        <v>49.97674418604651</v>
      </c>
    </row>
    <row r="158" spans="1:6" x14ac:dyDescent="0.2">
      <c r="A158" s="9">
        <v>22</v>
      </c>
      <c r="B158" s="3">
        <v>70</v>
      </c>
      <c r="C158" s="12">
        <v>21.6</v>
      </c>
      <c r="D158" s="12">
        <v>0.31</v>
      </c>
      <c r="E158" s="10">
        <f t="shared" si="4"/>
        <v>6.6960000000000006</v>
      </c>
      <c r="F158" s="8">
        <f t="shared" si="5"/>
        <v>69.677419354838719</v>
      </c>
    </row>
    <row r="159" spans="1:6" x14ac:dyDescent="0.2">
      <c r="A159" s="9">
        <v>23</v>
      </c>
      <c r="B159" s="3">
        <v>110</v>
      </c>
      <c r="C159" s="12">
        <v>21.7</v>
      </c>
      <c r="D159" s="12">
        <v>0.2</v>
      </c>
      <c r="E159" s="10">
        <f t="shared" si="4"/>
        <v>4.34</v>
      </c>
      <c r="F159" s="8">
        <f t="shared" si="5"/>
        <v>108.49999999999999</v>
      </c>
    </row>
    <row r="160" spans="1:6" x14ac:dyDescent="0.2">
      <c r="A160" s="9">
        <v>24</v>
      </c>
      <c r="B160" s="3">
        <v>200</v>
      </c>
      <c r="C160" s="12">
        <v>21.79</v>
      </c>
      <c r="D160" s="12">
        <v>0.11</v>
      </c>
      <c r="E160" s="10">
        <f t="shared" si="4"/>
        <v>2.3969</v>
      </c>
      <c r="F160" s="8">
        <f t="shared" si="5"/>
        <v>198.09090909090909</v>
      </c>
    </row>
    <row r="161" spans="1:15" x14ac:dyDescent="0.2">
      <c r="A161" s="9">
        <v>25</v>
      </c>
      <c r="B161" s="3">
        <v>400</v>
      </c>
      <c r="C161" s="12">
        <v>21.85</v>
      </c>
      <c r="D161" s="12">
        <v>0.05</v>
      </c>
      <c r="E161" s="10">
        <f t="shared" si="4"/>
        <v>1.0925</v>
      </c>
      <c r="F161" s="8">
        <f t="shared" si="5"/>
        <v>437</v>
      </c>
    </row>
    <row r="162" spans="1:15" ht="16" x14ac:dyDescent="0.2">
      <c r="A162" s="9">
        <v>26</v>
      </c>
      <c r="B162" s="3" t="s">
        <v>54</v>
      </c>
      <c r="C162" s="12">
        <v>21.9</v>
      </c>
      <c r="D162" s="12">
        <v>0</v>
      </c>
      <c r="E162" s="10">
        <f t="shared" si="4"/>
        <v>0</v>
      </c>
      <c r="F162" s="8" t="str">
        <f t="shared" si="5"/>
        <v>-</v>
      </c>
    </row>
    <row r="164" spans="1:15" x14ac:dyDescent="0.2">
      <c r="A164" s="88" t="s">
        <v>55</v>
      </c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</row>
    <row r="172" spans="1:15" ht="45" x14ac:dyDescent="0.2">
      <c r="A172" s="2" t="s">
        <v>0</v>
      </c>
      <c r="B172" s="3" t="s">
        <v>68</v>
      </c>
      <c r="D172" s="2" t="s">
        <v>1</v>
      </c>
      <c r="E172" s="4"/>
      <c r="H172" s="1" t="s">
        <v>2</v>
      </c>
    </row>
    <row r="174" spans="1:15" x14ac:dyDescent="0.2">
      <c r="A174" s="86" t="s">
        <v>3</v>
      </c>
      <c r="B174" s="86"/>
    </row>
    <row r="175" spans="1:15" ht="16" x14ac:dyDescent="0.2">
      <c r="A175" s="5" t="s">
        <v>4</v>
      </c>
      <c r="B175" s="87" t="s">
        <v>65</v>
      </c>
      <c r="C175" s="87"/>
      <c r="D175" s="87"/>
    </row>
    <row r="176" spans="1:15" ht="16" x14ac:dyDescent="0.2">
      <c r="A176" s="5" t="s">
        <v>5</v>
      </c>
      <c r="B176" s="87" t="s">
        <v>66</v>
      </c>
      <c r="C176" s="87"/>
      <c r="D176" s="87"/>
    </row>
    <row r="177" spans="1:15" ht="16" x14ac:dyDescent="0.2">
      <c r="A177" s="5" t="s">
        <v>7</v>
      </c>
      <c r="B177" s="87" t="s">
        <v>8</v>
      </c>
      <c r="C177" s="87"/>
      <c r="D177" s="87"/>
    </row>
    <row r="178" spans="1:15" ht="16" x14ac:dyDescent="0.2">
      <c r="A178" s="5" t="s">
        <v>9</v>
      </c>
      <c r="B178" s="87"/>
      <c r="C178" s="87"/>
      <c r="D178" s="87"/>
    </row>
    <row r="180" spans="1:15" x14ac:dyDescent="0.2">
      <c r="A180" s="86" t="s">
        <v>11</v>
      </c>
      <c r="B180" s="86"/>
      <c r="C180" s="86"/>
      <c r="D180" s="86"/>
      <c r="I180" s="86" t="s">
        <v>12</v>
      </c>
      <c r="J180" s="86"/>
      <c r="K180" s="86"/>
      <c r="L180" s="86"/>
    </row>
    <row r="181" spans="1:15" ht="16" x14ac:dyDescent="0.2">
      <c r="A181" s="6" t="s">
        <v>13</v>
      </c>
      <c r="B181" s="6" t="s">
        <v>14</v>
      </c>
      <c r="C181" s="6" t="s">
        <v>15</v>
      </c>
      <c r="D181" s="6" t="s">
        <v>16</v>
      </c>
      <c r="F181" s="6" t="s">
        <v>17</v>
      </c>
      <c r="G181" s="6" t="s">
        <v>18</v>
      </c>
      <c r="I181" s="6" t="s">
        <v>13</v>
      </c>
      <c r="J181" s="6" t="s">
        <v>14</v>
      </c>
      <c r="K181" s="6" t="s">
        <v>15</v>
      </c>
      <c r="L181" s="6" t="s">
        <v>16</v>
      </c>
      <c r="N181" s="6" t="s">
        <v>17</v>
      </c>
      <c r="O181" s="6" t="s">
        <v>18</v>
      </c>
    </row>
    <row r="182" spans="1:15" ht="16" x14ac:dyDescent="0.2">
      <c r="A182" s="7" t="s">
        <v>19</v>
      </c>
      <c r="B182" s="3">
        <v>24.6</v>
      </c>
      <c r="C182" s="3">
        <v>25.1</v>
      </c>
      <c r="D182" s="3">
        <v>24.8</v>
      </c>
      <c r="F182" s="2" t="s">
        <v>20</v>
      </c>
      <c r="G182" s="8">
        <f>IFERROR(AVERAGE(B182:D184),"-")</f>
        <v>24.833333333333332</v>
      </c>
      <c r="I182" s="7" t="s">
        <v>19</v>
      </c>
      <c r="J182" s="3">
        <v>612</v>
      </c>
      <c r="K182" s="3">
        <v>634</v>
      </c>
      <c r="L182" s="3">
        <v>601</v>
      </c>
      <c r="N182" s="2" t="s">
        <v>20</v>
      </c>
      <c r="O182" s="8">
        <f>IFERROR(AVERAGE(J182:L184),"-")</f>
        <v>615.66666666666663</v>
      </c>
    </row>
    <row r="183" spans="1:15" ht="16" x14ac:dyDescent="0.2">
      <c r="A183" s="7" t="s">
        <v>21</v>
      </c>
      <c r="B183" s="4"/>
      <c r="C183" s="4"/>
      <c r="D183" s="4"/>
      <c r="F183" s="2" t="s">
        <v>22</v>
      </c>
      <c r="G183" s="8">
        <f>IFERROR(MIN(B182:D184),"-")</f>
        <v>24.6</v>
      </c>
      <c r="I183" s="7" t="s">
        <v>21</v>
      </c>
      <c r="J183" s="4"/>
      <c r="K183" s="4"/>
      <c r="L183" s="4"/>
      <c r="N183" s="2" t="s">
        <v>22</v>
      </c>
      <c r="O183" s="8">
        <f>IFERROR(MIN(J182:L184),"-")</f>
        <v>601</v>
      </c>
    </row>
    <row r="184" spans="1:15" ht="16" x14ac:dyDescent="0.2">
      <c r="A184" s="7" t="s">
        <v>23</v>
      </c>
      <c r="B184" s="4"/>
      <c r="C184" s="4"/>
      <c r="D184" s="4"/>
      <c r="F184" s="2" t="s">
        <v>24</v>
      </c>
      <c r="G184" s="8">
        <f>IFERROR(MAX(B182:D184),"-")</f>
        <v>25.1</v>
      </c>
      <c r="I184" s="7" t="s">
        <v>23</v>
      </c>
      <c r="J184" s="4"/>
      <c r="K184" s="4"/>
      <c r="L184" s="4"/>
      <c r="N184" s="2" t="s">
        <v>24</v>
      </c>
      <c r="O184" s="8">
        <f>IFERROR(MAX(J182:L184),"-")</f>
        <v>634</v>
      </c>
    </row>
    <row r="185" spans="1:15" x14ac:dyDescent="0.2">
      <c r="F185" s="2" t="s">
        <v>25</v>
      </c>
      <c r="G185" s="8">
        <f>IFERROR(G184-G183,"-")</f>
        <v>0.5</v>
      </c>
      <c r="N185" s="2" t="s">
        <v>25</v>
      </c>
      <c r="O185" s="8">
        <f>IFERROR(O184-O183,"-")</f>
        <v>33</v>
      </c>
    </row>
    <row r="186" spans="1:15" x14ac:dyDescent="0.2">
      <c r="F186" s="2" t="s">
        <v>26</v>
      </c>
      <c r="G186" s="8">
        <f>IFERROR(STDEV(B182:D184),"-")</f>
        <v>0.25166114784235838</v>
      </c>
      <c r="N186" s="2" t="s">
        <v>26</v>
      </c>
      <c r="O186" s="8">
        <f>IFERROR(STDEV(J182:L184),"-")</f>
        <v>16.802777548171413</v>
      </c>
    </row>
    <row r="187" spans="1:15" x14ac:dyDescent="0.2">
      <c r="N187" s="2" t="s">
        <v>27</v>
      </c>
      <c r="O187" s="8">
        <f>IFERROR((1-((O184-O183)/(2*O182)))*100,"-")</f>
        <v>97.319978343259336</v>
      </c>
    </row>
    <row r="189" spans="1:15" x14ac:dyDescent="0.2">
      <c r="A189" s="86" t="s">
        <v>28</v>
      </c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</row>
    <row r="190" spans="1:15" ht="16" x14ac:dyDescent="0.2">
      <c r="A190" s="2" t="s">
        <v>29</v>
      </c>
      <c r="B190" s="3">
        <v>38.4</v>
      </c>
      <c r="D190" s="2" t="s">
        <v>30</v>
      </c>
      <c r="E190" s="3">
        <v>24.9</v>
      </c>
      <c r="G190" s="2" t="s">
        <v>31</v>
      </c>
      <c r="H190" s="3" t="s">
        <v>32</v>
      </c>
      <c r="K190" s="2" t="s">
        <v>33</v>
      </c>
      <c r="L190" s="3" t="s">
        <v>34</v>
      </c>
    </row>
    <row r="192" spans="1:15" x14ac:dyDescent="0.2">
      <c r="A192" s="86" t="s">
        <v>35</v>
      </c>
      <c r="B192" s="86"/>
      <c r="C192" s="86"/>
      <c r="D192" s="86"/>
      <c r="E192" s="86"/>
      <c r="F192" s="86"/>
      <c r="H192" s="86" t="s">
        <v>36</v>
      </c>
      <c r="I192" s="86"/>
    </row>
    <row r="193" spans="1:12" ht="16" x14ac:dyDescent="0.2">
      <c r="A193" s="6" t="s">
        <v>37</v>
      </c>
      <c r="B193" s="6" t="s">
        <v>38</v>
      </c>
      <c r="C193" s="6" t="s">
        <v>39</v>
      </c>
      <c r="D193" s="6" t="s">
        <v>40</v>
      </c>
      <c r="E193" s="6" t="s">
        <v>41</v>
      </c>
      <c r="F193" s="6" t="s">
        <v>42</v>
      </c>
      <c r="K193" s="17" t="s">
        <v>43</v>
      </c>
      <c r="L193" s="17" t="s">
        <v>44</v>
      </c>
    </row>
    <row r="194" spans="1:12" ht="16" x14ac:dyDescent="0.2">
      <c r="A194" s="9">
        <v>1</v>
      </c>
      <c r="B194" s="3">
        <v>2</v>
      </c>
      <c r="C194" s="12"/>
      <c r="D194" s="12"/>
      <c r="E194" s="10" t="str">
        <f t="shared" ref="E194:E219" si="6">IF(OR(C194="",D194=""),"-",C194*D194)</f>
        <v>-</v>
      </c>
      <c r="F194" s="8" t="str">
        <f t="shared" ref="F194:F219" si="7">IFERROR(C194/D194,"-")</f>
        <v>-</v>
      </c>
      <c r="H194" s="5" t="s">
        <v>45</v>
      </c>
      <c r="I194" s="10">
        <f>IFERROR(INDEX(C194:C219,MATCH("open",B194:B219,0)),"-")</f>
        <v>0</v>
      </c>
      <c r="K194" s="18" t="e">
        <f>IF(ISNUMBER(I195),0,NA())</f>
        <v>#N/A</v>
      </c>
      <c r="L194" s="19" t="e">
        <f>IF(ISNUMBER(I195),MIN(I195,$L$22),NA())</f>
        <v>#N/A</v>
      </c>
    </row>
    <row r="195" spans="1:12" ht="16" x14ac:dyDescent="0.2">
      <c r="A195" s="9">
        <v>2</v>
      </c>
      <c r="B195" s="3">
        <v>3</v>
      </c>
      <c r="C195" s="12"/>
      <c r="D195" s="12"/>
      <c r="E195" s="10" t="str">
        <f t="shared" si="6"/>
        <v>-</v>
      </c>
      <c r="F195" s="8" t="str">
        <f t="shared" si="7"/>
        <v>-</v>
      </c>
      <c r="H195" s="5" t="s">
        <v>46</v>
      </c>
      <c r="I195" s="11" t="str">
        <f>IFERROR(D194-C194*(D195-D194)/(C195-C194),"-")</f>
        <v>-</v>
      </c>
      <c r="K195" s="18" t="e">
        <f>IF(ISNUMBER(C194),C194,NA())</f>
        <v>#N/A</v>
      </c>
      <c r="L195" s="19" t="e">
        <f>IF(ISNUMBER(D194),D194,NA())</f>
        <v>#N/A</v>
      </c>
    </row>
    <row r="196" spans="1:12" ht="16" x14ac:dyDescent="0.2">
      <c r="A196" s="9">
        <v>3</v>
      </c>
      <c r="B196" s="3">
        <v>4</v>
      </c>
      <c r="C196" s="12"/>
      <c r="D196" s="12"/>
      <c r="E196" s="10" t="str">
        <f t="shared" si="6"/>
        <v>-</v>
      </c>
      <c r="F196" s="8" t="str">
        <f t="shared" si="7"/>
        <v>-</v>
      </c>
      <c r="H196" s="5" t="s">
        <v>47</v>
      </c>
      <c r="I196" s="11">
        <f>IFERROR(MAX(E194:E219),"-")</f>
        <v>0</v>
      </c>
      <c r="K196" t="s">
        <v>48</v>
      </c>
      <c r="L196" t="str">
        <f>IF(NOT(ISNUMBER(I195)),"",IF(I195&gt;$L$22,"Yes","No"))</f>
        <v/>
      </c>
    </row>
    <row r="197" spans="1:12" ht="16" x14ac:dyDescent="0.2">
      <c r="A197" s="9">
        <v>4</v>
      </c>
      <c r="B197" s="3">
        <v>5</v>
      </c>
      <c r="C197" s="12"/>
      <c r="D197" s="12"/>
      <c r="E197" s="10" t="str">
        <f t="shared" si="6"/>
        <v>-</v>
      </c>
      <c r="F197" s="8" t="str">
        <f t="shared" si="7"/>
        <v>-</v>
      </c>
      <c r="H197" s="5" t="s">
        <v>49</v>
      </c>
      <c r="I197" s="10" t="str">
        <f>IFERROR(INDEX(C194:C219,MATCH(I196,E194:E219,0)),"-")</f>
        <v>-</v>
      </c>
    </row>
    <row r="198" spans="1:12" ht="16" x14ac:dyDescent="0.2">
      <c r="A198" s="9">
        <v>5</v>
      </c>
      <c r="B198" s="3">
        <v>6</v>
      </c>
      <c r="C198" s="12"/>
      <c r="D198" s="12"/>
      <c r="E198" s="10" t="str">
        <f t="shared" si="6"/>
        <v>-</v>
      </c>
      <c r="F198" s="8" t="str">
        <f t="shared" si="7"/>
        <v>-</v>
      </c>
      <c r="H198" s="5" t="s">
        <v>50</v>
      </c>
      <c r="I198" s="10" t="str">
        <f>IFERROR(INDEX(D194:D219,MATCH(I196,E194:E219,0)),"-")</f>
        <v>-</v>
      </c>
    </row>
    <row r="199" spans="1:12" ht="16" x14ac:dyDescent="0.2">
      <c r="A199" s="9">
        <v>6</v>
      </c>
      <c r="B199" s="3">
        <v>7</v>
      </c>
      <c r="C199" s="12"/>
      <c r="D199" s="12"/>
      <c r="E199" s="10" t="str">
        <f t="shared" si="6"/>
        <v>-</v>
      </c>
      <c r="F199" s="8" t="str">
        <f t="shared" si="7"/>
        <v>-</v>
      </c>
      <c r="H199" s="5" t="s">
        <v>51</v>
      </c>
      <c r="I199" s="14" t="str">
        <f>IFERROR(I197/I198,"-")</f>
        <v>-</v>
      </c>
    </row>
    <row r="200" spans="1:12" ht="16" x14ac:dyDescent="0.2">
      <c r="A200" s="9">
        <v>7</v>
      </c>
      <c r="B200" s="3">
        <v>8</v>
      </c>
      <c r="C200" s="12"/>
      <c r="D200" s="12"/>
      <c r="E200" s="10" t="str">
        <f t="shared" si="6"/>
        <v>-</v>
      </c>
      <c r="F200" s="8" t="str">
        <f t="shared" si="7"/>
        <v>-</v>
      </c>
      <c r="H200" s="5" t="s">
        <v>52</v>
      </c>
      <c r="I200" s="14" t="str">
        <f>IFERROR(I196/(I194*I195),"-")</f>
        <v>-</v>
      </c>
    </row>
    <row r="201" spans="1:12" ht="16" x14ac:dyDescent="0.2">
      <c r="A201" s="9">
        <v>8</v>
      </c>
      <c r="B201" s="3">
        <v>9</v>
      </c>
      <c r="C201" s="12"/>
      <c r="D201" s="12"/>
      <c r="E201" s="10" t="str">
        <f t="shared" si="6"/>
        <v>-</v>
      </c>
      <c r="F201" s="8" t="str">
        <f t="shared" si="7"/>
        <v>-</v>
      </c>
      <c r="H201" s="5" t="s">
        <v>53</v>
      </c>
      <c r="I201" s="15">
        <f>COUNT(D194:D219)</f>
        <v>0</v>
      </c>
    </row>
    <row r="202" spans="1:12" ht="16" x14ac:dyDescent="0.2">
      <c r="A202" s="9">
        <v>9</v>
      </c>
      <c r="B202" s="3">
        <v>10</v>
      </c>
      <c r="C202" s="12"/>
      <c r="D202" s="12"/>
      <c r="E202" s="10" t="str">
        <f t="shared" si="6"/>
        <v>-</v>
      </c>
      <c r="F202" s="8" t="str">
        <f t="shared" si="7"/>
        <v>-</v>
      </c>
    </row>
    <row r="203" spans="1:12" ht="16" x14ac:dyDescent="0.2">
      <c r="A203" s="9">
        <v>10</v>
      </c>
      <c r="B203" s="3">
        <v>11</v>
      </c>
      <c r="C203" s="12"/>
      <c r="D203" s="12"/>
      <c r="E203" s="10" t="str">
        <f t="shared" si="6"/>
        <v>-</v>
      </c>
      <c r="F203" s="8" t="str">
        <f t="shared" si="7"/>
        <v>-</v>
      </c>
    </row>
    <row r="204" spans="1:12" ht="16" x14ac:dyDescent="0.2">
      <c r="A204" s="9">
        <v>11</v>
      </c>
      <c r="B204" s="3">
        <v>12</v>
      </c>
      <c r="C204" s="12"/>
      <c r="D204" s="12"/>
      <c r="E204" s="10" t="str">
        <f t="shared" si="6"/>
        <v>-</v>
      </c>
      <c r="F204" s="8" t="str">
        <f t="shared" si="7"/>
        <v>-</v>
      </c>
    </row>
    <row r="205" spans="1:12" ht="16" x14ac:dyDescent="0.2">
      <c r="A205" s="9">
        <v>12</v>
      </c>
      <c r="B205" s="3">
        <v>13</v>
      </c>
      <c r="C205" s="12"/>
      <c r="D205" s="12"/>
      <c r="E205" s="10" t="str">
        <f t="shared" si="6"/>
        <v>-</v>
      </c>
      <c r="F205" s="8" t="str">
        <f t="shared" si="7"/>
        <v>-</v>
      </c>
    </row>
    <row r="206" spans="1:12" ht="16" x14ac:dyDescent="0.2">
      <c r="A206" s="9">
        <v>13</v>
      </c>
      <c r="B206" s="3">
        <v>14</v>
      </c>
      <c r="C206" s="12"/>
      <c r="D206" s="12"/>
      <c r="E206" s="10" t="str">
        <f t="shared" si="6"/>
        <v>-</v>
      </c>
      <c r="F206" s="8" t="str">
        <f t="shared" si="7"/>
        <v>-</v>
      </c>
    </row>
    <row r="207" spans="1:12" ht="16" x14ac:dyDescent="0.2">
      <c r="A207" s="9">
        <v>14</v>
      </c>
      <c r="B207" s="3">
        <v>16</v>
      </c>
      <c r="C207" s="12"/>
      <c r="D207" s="12"/>
      <c r="E207" s="10" t="str">
        <f t="shared" si="6"/>
        <v>-</v>
      </c>
      <c r="F207" s="8" t="str">
        <f t="shared" si="7"/>
        <v>-</v>
      </c>
    </row>
    <row r="208" spans="1:12" ht="16" x14ac:dyDescent="0.2">
      <c r="A208" s="9">
        <v>15</v>
      </c>
      <c r="B208" s="3">
        <v>18</v>
      </c>
      <c r="C208" s="12"/>
      <c r="D208" s="12"/>
      <c r="E208" s="10" t="str">
        <f t="shared" si="6"/>
        <v>-</v>
      </c>
      <c r="F208" s="8" t="str">
        <f t="shared" si="7"/>
        <v>-</v>
      </c>
    </row>
    <row r="209" spans="1:15" ht="16" x14ac:dyDescent="0.2">
      <c r="A209" s="9">
        <v>16</v>
      </c>
      <c r="B209" s="3">
        <v>20</v>
      </c>
      <c r="C209" s="12"/>
      <c r="D209" s="12"/>
      <c r="E209" s="10" t="str">
        <f t="shared" si="6"/>
        <v>-</v>
      </c>
      <c r="F209" s="8" t="str">
        <f t="shared" si="7"/>
        <v>-</v>
      </c>
    </row>
    <row r="210" spans="1:15" ht="16" x14ac:dyDescent="0.2">
      <c r="A210" s="9">
        <v>17</v>
      </c>
      <c r="B210" s="3">
        <v>24</v>
      </c>
      <c r="C210" s="12"/>
      <c r="D210" s="12"/>
      <c r="E210" s="10" t="str">
        <f t="shared" si="6"/>
        <v>-</v>
      </c>
      <c r="F210" s="8" t="str">
        <f t="shared" si="7"/>
        <v>-</v>
      </c>
    </row>
    <row r="211" spans="1:15" ht="16" x14ac:dyDescent="0.2">
      <c r="A211" s="9">
        <v>18</v>
      </c>
      <c r="B211" s="3">
        <v>28</v>
      </c>
      <c r="C211" s="12"/>
      <c r="D211" s="12"/>
      <c r="E211" s="10" t="str">
        <f t="shared" si="6"/>
        <v>-</v>
      </c>
      <c r="F211" s="8" t="str">
        <f t="shared" si="7"/>
        <v>-</v>
      </c>
    </row>
    <row r="212" spans="1:15" ht="16" x14ac:dyDescent="0.2">
      <c r="A212" s="9">
        <v>19</v>
      </c>
      <c r="B212" s="3">
        <v>33</v>
      </c>
      <c r="C212" s="12"/>
      <c r="D212" s="12"/>
      <c r="E212" s="10" t="str">
        <f t="shared" si="6"/>
        <v>-</v>
      </c>
      <c r="F212" s="8" t="str">
        <f t="shared" si="7"/>
        <v>-</v>
      </c>
    </row>
    <row r="213" spans="1:15" ht="16" x14ac:dyDescent="0.2">
      <c r="A213" s="9">
        <v>20</v>
      </c>
      <c r="B213" s="3">
        <v>40</v>
      </c>
      <c r="C213" s="12"/>
      <c r="D213" s="12"/>
      <c r="E213" s="10" t="str">
        <f t="shared" si="6"/>
        <v>-</v>
      </c>
      <c r="F213" s="8" t="str">
        <f t="shared" si="7"/>
        <v>-</v>
      </c>
    </row>
    <row r="214" spans="1:15" ht="16" x14ac:dyDescent="0.2">
      <c r="A214" s="9">
        <v>21</v>
      </c>
      <c r="B214" s="3">
        <v>50</v>
      </c>
      <c r="C214" s="12"/>
      <c r="D214" s="12"/>
      <c r="E214" s="10" t="str">
        <f t="shared" si="6"/>
        <v>-</v>
      </c>
      <c r="F214" s="8" t="str">
        <f t="shared" si="7"/>
        <v>-</v>
      </c>
    </row>
    <row r="215" spans="1:15" ht="16" x14ac:dyDescent="0.2">
      <c r="A215" s="9">
        <v>22</v>
      </c>
      <c r="B215" s="3">
        <v>70</v>
      </c>
      <c r="C215" s="12"/>
      <c r="D215" s="12"/>
      <c r="E215" s="10" t="str">
        <f t="shared" si="6"/>
        <v>-</v>
      </c>
      <c r="F215" s="8" t="str">
        <f t="shared" si="7"/>
        <v>-</v>
      </c>
    </row>
    <row r="216" spans="1:15" ht="16" x14ac:dyDescent="0.2">
      <c r="A216" s="9">
        <v>23</v>
      </c>
      <c r="B216" s="3">
        <v>110</v>
      </c>
      <c r="C216" s="12"/>
      <c r="D216" s="12"/>
      <c r="E216" s="10" t="str">
        <f t="shared" si="6"/>
        <v>-</v>
      </c>
      <c r="F216" s="8" t="str">
        <f t="shared" si="7"/>
        <v>-</v>
      </c>
    </row>
    <row r="217" spans="1:15" ht="16" x14ac:dyDescent="0.2">
      <c r="A217" s="9">
        <v>24</v>
      </c>
      <c r="B217" s="3">
        <v>200</v>
      </c>
      <c r="C217" s="12"/>
      <c r="D217" s="12"/>
      <c r="E217" s="10" t="str">
        <f t="shared" si="6"/>
        <v>-</v>
      </c>
      <c r="F217" s="8" t="str">
        <f t="shared" si="7"/>
        <v>-</v>
      </c>
    </row>
    <row r="218" spans="1:15" ht="16" x14ac:dyDescent="0.2">
      <c r="A218" s="9">
        <v>25</v>
      </c>
      <c r="B218" s="3">
        <v>400</v>
      </c>
      <c r="C218" s="12"/>
      <c r="D218" s="12"/>
      <c r="E218" s="10" t="str">
        <f t="shared" si="6"/>
        <v>-</v>
      </c>
      <c r="F218" s="8" t="str">
        <f t="shared" si="7"/>
        <v>-</v>
      </c>
    </row>
    <row r="219" spans="1:15" ht="16" x14ac:dyDescent="0.2">
      <c r="A219" s="9">
        <v>26</v>
      </c>
      <c r="B219" s="3" t="s">
        <v>54</v>
      </c>
      <c r="C219" s="12"/>
      <c r="D219" s="12"/>
      <c r="E219" s="10" t="str">
        <f t="shared" si="6"/>
        <v>-</v>
      </c>
      <c r="F219" s="8" t="str">
        <f t="shared" si="7"/>
        <v>-</v>
      </c>
    </row>
    <row r="221" spans="1:15" x14ac:dyDescent="0.2">
      <c r="A221" s="88" t="s">
        <v>55</v>
      </c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</row>
  </sheetData>
  <mergeCells count="45">
    <mergeCell ref="A221:O221"/>
    <mergeCell ref="B178:D178"/>
    <mergeCell ref="A180:D180"/>
    <mergeCell ref="I180:L180"/>
    <mergeCell ref="A189:O189"/>
    <mergeCell ref="A192:F192"/>
    <mergeCell ref="H192:I192"/>
    <mergeCell ref="A164:O164"/>
    <mergeCell ref="A174:B174"/>
    <mergeCell ref="B175:D175"/>
    <mergeCell ref="B176:D176"/>
    <mergeCell ref="B177:D177"/>
    <mergeCell ref="B121:D121"/>
    <mergeCell ref="A123:D123"/>
    <mergeCell ref="I123:L123"/>
    <mergeCell ref="A132:O132"/>
    <mergeCell ref="A135:F135"/>
    <mergeCell ref="H135:I135"/>
    <mergeCell ref="A107:O107"/>
    <mergeCell ref="A117:B117"/>
    <mergeCell ref="B118:D118"/>
    <mergeCell ref="B119:D119"/>
    <mergeCell ref="B120:D120"/>
    <mergeCell ref="B64:D64"/>
    <mergeCell ref="A66:D66"/>
    <mergeCell ref="I66:L66"/>
    <mergeCell ref="A75:O75"/>
    <mergeCell ref="A78:F78"/>
    <mergeCell ref="H78:I78"/>
    <mergeCell ref="A52:O52"/>
    <mergeCell ref="A60:B60"/>
    <mergeCell ref="B61:D61"/>
    <mergeCell ref="B62:D62"/>
    <mergeCell ref="B63:D63"/>
    <mergeCell ref="B9:D9"/>
    <mergeCell ref="A11:D11"/>
    <mergeCell ref="I11:L11"/>
    <mergeCell ref="A20:O20"/>
    <mergeCell ref="A23:F23"/>
    <mergeCell ref="H23:I23"/>
    <mergeCell ref="A1:O1"/>
    <mergeCell ref="A5:B5"/>
    <mergeCell ref="B6:D6"/>
    <mergeCell ref="B7:D7"/>
    <mergeCell ref="B8:D8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58DF-7CC7-B042-950B-6D41C3552D9F}">
  <dimension ref="A1:O281"/>
  <sheetViews>
    <sheetView topLeftCell="A146" zoomScale="83" workbookViewId="0">
      <selection activeCell="C80" sqref="C80:D105"/>
    </sheetView>
  </sheetViews>
  <sheetFormatPr baseColWidth="10" defaultColWidth="8.6640625" defaultRowHeight="15" x14ac:dyDescent="0.2"/>
  <sheetData>
    <row r="1" spans="1:15" ht="21" x14ac:dyDescent="0.2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120" x14ac:dyDescent="0.2">
      <c r="A3" s="20" t="s">
        <v>0</v>
      </c>
      <c r="B3" s="21">
        <v>46273</v>
      </c>
      <c r="D3" s="20" t="s">
        <v>1</v>
      </c>
      <c r="E3" s="22">
        <v>0.58333333333333337</v>
      </c>
      <c r="H3" s="23" t="s">
        <v>2</v>
      </c>
    </row>
    <row r="5" spans="1:15" x14ac:dyDescent="0.2">
      <c r="A5" s="76" t="s">
        <v>3</v>
      </c>
      <c r="B5" s="76"/>
    </row>
    <row r="6" spans="1:15" ht="48" x14ac:dyDescent="0.2">
      <c r="A6" s="24" t="s">
        <v>4</v>
      </c>
      <c r="B6" s="77" t="s">
        <v>65</v>
      </c>
      <c r="C6" s="77"/>
      <c r="D6" s="77"/>
    </row>
    <row r="7" spans="1:15" ht="48" x14ac:dyDescent="0.2">
      <c r="A7" s="24" t="s">
        <v>5</v>
      </c>
      <c r="B7" s="77" t="s">
        <v>66</v>
      </c>
      <c r="C7" s="77"/>
      <c r="D7" s="77"/>
    </row>
    <row r="8" spans="1:15" ht="48" x14ac:dyDescent="0.2">
      <c r="A8" s="24" t="s">
        <v>7</v>
      </c>
      <c r="B8" s="77" t="s">
        <v>8</v>
      </c>
      <c r="C8" s="77"/>
      <c r="D8" s="77"/>
    </row>
    <row r="9" spans="1:15" ht="48" x14ac:dyDescent="0.2">
      <c r="A9" s="24" t="s">
        <v>9</v>
      </c>
      <c r="B9" s="77"/>
      <c r="C9" s="77"/>
      <c r="D9" s="77"/>
    </row>
    <row r="11" spans="1:15" ht="14.75" customHeight="1" x14ac:dyDescent="0.2">
      <c r="A11" s="76" t="s">
        <v>11</v>
      </c>
      <c r="B11" s="76"/>
      <c r="C11" s="76"/>
      <c r="D11" s="76"/>
      <c r="I11" s="76" t="s">
        <v>12</v>
      </c>
      <c r="J11" s="76"/>
      <c r="K11" s="76"/>
      <c r="L11" s="76"/>
    </row>
    <row r="12" spans="1:15" ht="16" x14ac:dyDescent="0.2">
      <c r="A12" s="25" t="s">
        <v>13</v>
      </c>
      <c r="B12" s="25" t="s">
        <v>14</v>
      </c>
      <c r="C12" s="25" t="s">
        <v>15</v>
      </c>
      <c r="D12" s="25" t="s">
        <v>16</v>
      </c>
      <c r="F12" s="25" t="s">
        <v>17</v>
      </c>
      <c r="G12" s="25" t="s">
        <v>18</v>
      </c>
      <c r="I12" s="25" t="s">
        <v>13</v>
      </c>
      <c r="J12" s="25" t="s">
        <v>14</v>
      </c>
      <c r="K12" s="25" t="s">
        <v>15</v>
      </c>
      <c r="L12" s="25" t="s">
        <v>16</v>
      </c>
      <c r="N12" s="25" t="s">
        <v>17</v>
      </c>
      <c r="O12" s="25" t="s">
        <v>18</v>
      </c>
    </row>
    <row r="13" spans="1:15" ht="16" x14ac:dyDescent="0.2">
      <c r="A13" s="26" t="s">
        <v>19</v>
      </c>
      <c r="B13" s="27">
        <v>49</v>
      </c>
      <c r="C13" s="27">
        <v>51.8</v>
      </c>
      <c r="D13" s="27">
        <v>50.1</v>
      </c>
      <c r="F13" s="20" t="s">
        <v>20</v>
      </c>
      <c r="G13" s="28">
        <f>IFERROR(AVERAGE(B13:D15),"-")</f>
        <v>49.711111111111116</v>
      </c>
      <c r="I13" s="26" t="s">
        <v>19</v>
      </c>
      <c r="J13" s="27">
        <v>837.8</v>
      </c>
      <c r="K13" s="27">
        <v>847.1</v>
      </c>
      <c r="L13" s="27">
        <v>860.7</v>
      </c>
      <c r="N13" s="20" t="s">
        <v>20</v>
      </c>
      <c r="O13" s="28">
        <f>IFERROR(AVERAGE(J13:L15),"-")</f>
        <v>854.4666666666667</v>
      </c>
    </row>
    <row r="14" spans="1:15" ht="16" x14ac:dyDescent="0.2">
      <c r="A14" s="26" t="s">
        <v>21</v>
      </c>
      <c r="B14" s="29">
        <v>51</v>
      </c>
      <c r="C14" s="29">
        <v>52.3</v>
      </c>
      <c r="D14" s="29">
        <v>49.1</v>
      </c>
      <c r="F14" s="20" t="s">
        <v>22</v>
      </c>
      <c r="G14" s="28">
        <f>IFERROR(MIN(B13:D15),"-")</f>
        <v>47</v>
      </c>
      <c r="I14" s="26" t="s">
        <v>21</v>
      </c>
      <c r="J14" s="29">
        <v>859.6</v>
      </c>
      <c r="K14" s="29">
        <v>851.1</v>
      </c>
      <c r="L14" s="29">
        <v>860.1</v>
      </c>
      <c r="N14" s="20" t="s">
        <v>22</v>
      </c>
      <c r="O14" s="28">
        <f>IFERROR(MIN(J13:L15),"-")</f>
        <v>837.8</v>
      </c>
    </row>
    <row r="15" spans="1:15" ht="16" x14ac:dyDescent="0.2">
      <c r="A15" s="26" t="s">
        <v>23</v>
      </c>
      <c r="B15" s="29">
        <v>47</v>
      </c>
      <c r="C15" s="29">
        <v>50.1</v>
      </c>
      <c r="D15" s="29">
        <v>47</v>
      </c>
      <c r="F15" s="20" t="s">
        <v>24</v>
      </c>
      <c r="G15" s="28">
        <f>IFERROR(MAX(B13:D15),"-")</f>
        <v>52.3</v>
      </c>
      <c r="I15" s="26" t="s">
        <v>23</v>
      </c>
      <c r="J15" s="29">
        <v>861.1</v>
      </c>
      <c r="K15" s="29">
        <v>853.7</v>
      </c>
      <c r="L15" s="29">
        <v>859</v>
      </c>
      <c r="N15" s="20" t="s">
        <v>24</v>
      </c>
      <c r="O15" s="28">
        <f>IFERROR(MAX(J13:L15),"-")</f>
        <v>861.1</v>
      </c>
    </row>
    <row r="16" spans="1:15" x14ac:dyDescent="0.2">
      <c r="F16" s="20" t="s">
        <v>25</v>
      </c>
      <c r="G16" s="28">
        <f>IFERROR(G15-G14,"-")</f>
        <v>5.2999999999999972</v>
      </c>
      <c r="N16" s="20" t="s">
        <v>25</v>
      </c>
      <c r="O16" s="28">
        <f>IFERROR(O15-O14,"-")</f>
        <v>23.300000000000068</v>
      </c>
    </row>
    <row r="17" spans="1:15" x14ac:dyDescent="0.2">
      <c r="F17" s="20" t="s">
        <v>26</v>
      </c>
      <c r="G17" s="28">
        <f>IFERROR(STDEV(B13:D15),"-")</f>
        <v>1.8910608427840463</v>
      </c>
      <c r="N17" s="20" t="s">
        <v>26</v>
      </c>
      <c r="O17" s="28">
        <f>IFERROR(STDEV(J13:L15),"-")</f>
        <v>7.9487420388386179</v>
      </c>
    </row>
    <row r="18" spans="1:15" x14ac:dyDescent="0.2">
      <c r="N18" s="20" t="s">
        <v>27</v>
      </c>
      <c r="O18" s="28">
        <f>IFERROR((1-((O15-O14)/(2*O13)))*100,"-")</f>
        <v>98.636576421939608</v>
      </c>
    </row>
    <row r="20" spans="1:15" x14ac:dyDescent="0.2">
      <c r="A20" s="76" t="s">
        <v>28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 ht="16" x14ac:dyDescent="0.2">
      <c r="A21" s="20" t="s">
        <v>29</v>
      </c>
      <c r="B21" s="27">
        <v>38.4</v>
      </c>
      <c r="D21" s="20" t="s">
        <v>30</v>
      </c>
      <c r="E21" s="27">
        <v>24.9</v>
      </c>
      <c r="G21" s="20" t="s">
        <v>31</v>
      </c>
      <c r="H21" s="27" t="s">
        <v>32</v>
      </c>
      <c r="K21" s="20" t="s">
        <v>33</v>
      </c>
      <c r="L21" s="27" t="s">
        <v>34</v>
      </c>
    </row>
    <row r="22" spans="1:15" x14ac:dyDescent="0.2">
      <c r="K22" s="17" t="s">
        <v>67</v>
      </c>
      <c r="L22" s="34">
        <v>4.76</v>
      </c>
    </row>
    <row r="23" spans="1:15" ht="14.75" customHeight="1" x14ac:dyDescent="0.2">
      <c r="A23" s="76" t="s">
        <v>35</v>
      </c>
      <c r="B23" s="76"/>
      <c r="C23" s="76"/>
      <c r="D23" s="76"/>
      <c r="E23" s="76"/>
      <c r="F23" s="76"/>
      <c r="H23" s="76" t="s">
        <v>36</v>
      </c>
      <c r="I23" s="76"/>
    </row>
    <row r="24" spans="1:15" ht="32" x14ac:dyDescent="0.2">
      <c r="A24" s="25" t="s">
        <v>37</v>
      </c>
      <c r="B24" s="25" t="s">
        <v>38</v>
      </c>
      <c r="C24" s="25" t="s">
        <v>39</v>
      </c>
      <c r="D24" s="25" t="s">
        <v>40</v>
      </c>
      <c r="E24" s="25" t="s">
        <v>41</v>
      </c>
      <c r="F24" s="25" t="s">
        <v>42</v>
      </c>
      <c r="K24" s="17" t="s">
        <v>43</v>
      </c>
      <c r="L24" s="17" t="s">
        <v>44</v>
      </c>
    </row>
    <row r="25" spans="1:15" ht="16" x14ac:dyDescent="0.2">
      <c r="A25" s="30">
        <v>1</v>
      </c>
      <c r="B25" s="27">
        <v>2</v>
      </c>
      <c r="C25" s="31">
        <v>9.0399999999999991</v>
      </c>
      <c r="D25" s="31">
        <v>4.4800000000000004</v>
      </c>
      <c r="E25" s="32">
        <f t="shared" ref="E25:E50" si="0">IF(OR(C25="",D25=""),"-",C25*D25)</f>
        <v>40.499200000000002</v>
      </c>
      <c r="F25" s="28">
        <f t="shared" ref="F25:F50" si="1">IFERROR(C25/D25,"-")</f>
        <v>2.0178571428571423</v>
      </c>
      <c r="H25" s="24" t="s">
        <v>45</v>
      </c>
      <c r="I25" s="32">
        <f>IFERROR(INDEX(C25:C50,MATCH("open",B25:B50,0)),"-")</f>
        <v>21.98</v>
      </c>
      <c r="K25" s="18">
        <f>IF(ISNUMBER(I26),0,NA())</f>
        <v>0</v>
      </c>
      <c r="L25" s="19">
        <f>IF(ISNUMBER(I26),MIN(I26,$L$22),NA())</f>
        <v>4.5220465116279085</v>
      </c>
    </row>
    <row r="26" spans="1:15" ht="48" x14ac:dyDescent="0.2">
      <c r="A26" s="30">
        <v>2</v>
      </c>
      <c r="B26" s="27">
        <v>3</v>
      </c>
      <c r="C26" s="31">
        <v>13.34</v>
      </c>
      <c r="D26" s="31">
        <v>4.46</v>
      </c>
      <c r="E26" s="32">
        <f t="shared" si="0"/>
        <v>59.496400000000001</v>
      </c>
      <c r="F26" s="28">
        <f t="shared" si="1"/>
        <v>2.9910313901345291</v>
      </c>
      <c r="H26" s="24" t="s">
        <v>46</v>
      </c>
      <c r="I26" s="33">
        <f>IFERROR(D25-C25*(D26-D25)/(C26-C25),"-")</f>
        <v>4.5220465116279085</v>
      </c>
      <c r="K26" s="18">
        <f>IF(ISNUMBER(C25),C25,NA())</f>
        <v>9.0399999999999991</v>
      </c>
      <c r="L26" s="19">
        <f>IF(ISNUMBER(D25),D25,NA())</f>
        <v>4.4800000000000004</v>
      </c>
    </row>
    <row r="27" spans="1:15" ht="16" x14ac:dyDescent="0.2">
      <c r="A27" s="30">
        <v>3</v>
      </c>
      <c r="B27" s="27">
        <v>4</v>
      </c>
      <c r="C27" s="31">
        <v>16.48</v>
      </c>
      <c r="D27" s="31">
        <v>4.1100000000000003</v>
      </c>
      <c r="E27" s="32">
        <f t="shared" si="0"/>
        <v>67.732800000000012</v>
      </c>
      <c r="F27" s="28">
        <f t="shared" si="1"/>
        <v>4.0097323600973231</v>
      </c>
      <c r="H27" s="24" t="s">
        <v>47</v>
      </c>
      <c r="I27" s="33">
        <f>IFERROR(MAX(E25:E50),"-")</f>
        <v>67.732800000000012</v>
      </c>
      <c r="K27" t="s">
        <v>48</v>
      </c>
      <c r="L27" t="str">
        <f>IF(NOT(ISNUMBER(I26)),"",IF(I26&gt;$L$22,"Yes","No"))</f>
        <v>No</v>
      </c>
    </row>
    <row r="28" spans="1:15" ht="16" x14ac:dyDescent="0.2">
      <c r="A28" s="30">
        <v>4</v>
      </c>
      <c r="B28" s="27">
        <v>5</v>
      </c>
      <c r="C28" s="31">
        <v>17.95</v>
      </c>
      <c r="D28" s="31">
        <v>3.58</v>
      </c>
      <c r="E28" s="32">
        <f t="shared" si="0"/>
        <v>64.260999999999996</v>
      </c>
      <c r="F28" s="28">
        <f t="shared" si="1"/>
        <v>5.0139664804469275</v>
      </c>
      <c r="H28" s="24" t="s">
        <v>49</v>
      </c>
      <c r="I28" s="32">
        <f>IFERROR(INDEX(C25:C50,MATCH(I27,E25:E50,0)),"-")</f>
        <v>16.48</v>
      </c>
    </row>
    <row r="29" spans="1:15" ht="16" x14ac:dyDescent="0.2">
      <c r="A29" s="30">
        <v>5</v>
      </c>
      <c r="B29" s="27">
        <v>6</v>
      </c>
      <c r="C29" s="31">
        <v>18.75</v>
      </c>
      <c r="D29" s="31">
        <v>3.12</v>
      </c>
      <c r="E29" s="32">
        <f t="shared" si="0"/>
        <v>58.5</v>
      </c>
      <c r="F29" s="28">
        <f t="shared" si="1"/>
        <v>6.0096153846153841</v>
      </c>
      <c r="H29" s="24" t="s">
        <v>50</v>
      </c>
      <c r="I29" s="32">
        <f>IFERROR(INDEX(D25:D50,MATCH(I27,E25:E50,0)),"-")</f>
        <v>4.1100000000000003</v>
      </c>
    </row>
    <row r="30" spans="1:15" ht="32" x14ac:dyDescent="0.2">
      <c r="A30" s="30">
        <v>6</v>
      </c>
      <c r="B30" s="27">
        <v>7</v>
      </c>
      <c r="C30" s="31">
        <v>19.27</v>
      </c>
      <c r="D30" s="31">
        <v>2.75</v>
      </c>
      <c r="E30" s="32">
        <f t="shared" si="0"/>
        <v>52.9925</v>
      </c>
      <c r="F30" s="28">
        <f t="shared" si="1"/>
        <v>7.0072727272727269</v>
      </c>
      <c r="H30" s="24" t="s">
        <v>51</v>
      </c>
      <c r="I30" s="14">
        <f>IFERROR(I28/I29,"-")</f>
        <v>4.0097323600973231</v>
      </c>
    </row>
    <row r="31" spans="1:15" ht="16" x14ac:dyDescent="0.2">
      <c r="A31" s="30">
        <v>7</v>
      </c>
      <c r="B31" s="27">
        <v>8</v>
      </c>
      <c r="C31" s="31">
        <v>19.649999999999999</v>
      </c>
      <c r="D31" s="31">
        <v>2.4500000000000002</v>
      </c>
      <c r="E31" s="32">
        <f t="shared" si="0"/>
        <v>48.142499999999998</v>
      </c>
      <c r="F31" s="28">
        <f t="shared" si="1"/>
        <v>8.020408163265305</v>
      </c>
      <c r="H31" s="24" t="s">
        <v>52</v>
      </c>
      <c r="I31" s="14">
        <f>IFERROR(I27/(I25*I26),"-")</f>
        <v>0.68145364078427695</v>
      </c>
    </row>
    <row r="32" spans="1:15" ht="32" x14ac:dyDescent="0.2">
      <c r="A32" s="30">
        <v>8</v>
      </c>
      <c r="B32" s="27">
        <v>9</v>
      </c>
      <c r="C32" s="31">
        <v>19.93</v>
      </c>
      <c r="D32" s="31">
        <v>2.21</v>
      </c>
      <c r="E32" s="32">
        <f t="shared" si="0"/>
        <v>44.045299999999997</v>
      </c>
      <c r="F32" s="28">
        <f t="shared" si="1"/>
        <v>9.0180995475113122</v>
      </c>
      <c r="H32" s="24" t="s">
        <v>53</v>
      </c>
      <c r="I32" s="15">
        <f>COUNT(D25:D50)</f>
        <v>26</v>
      </c>
    </row>
    <row r="33" spans="1:6" x14ac:dyDescent="0.2">
      <c r="A33" s="30">
        <v>9</v>
      </c>
      <c r="B33" s="27">
        <v>10</v>
      </c>
      <c r="C33" s="31">
        <v>20.14</v>
      </c>
      <c r="D33" s="31">
        <v>2.0099999999999998</v>
      </c>
      <c r="E33" s="32">
        <f t="shared" si="0"/>
        <v>40.481399999999994</v>
      </c>
      <c r="F33" s="28">
        <f t="shared" si="1"/>
        <v>10.01990049751244</v>
      </c>
    </row>
    <row r="34" spans="1:6" x14ac:dyDescent="0.2">
      <c r="A34" s="30">
        <v>10</v>
      </c>
      <c r="B34" s="27">
        <v>11</v>
      </c>
      <c r="C34" s="31">
        <v>20.32</v>
      </c>
      <c r="D34" s="31">
        <v>1.85</v>
      </c>
      <c r="E34" s="32">
        <f t="shared" si="0"/>
        <v>37.592000000000006</v>
      </c>
      <c r="F34" s="28">
        <f t="shared" si="1"/>
        <v>10.983783783783784</v>
      </c>
    </row>
    <row r="35" spans="1:6" x14ac:dyDescent="0.2">
      <c r="A35" s="30">
        <v>11</v>
      </c>
      <c r="B35" s="27">
        <v>12</v>
      </c>
      <c r="C35" s="31">
        <v>20.46</v>
      </c>
      <c r="D35" s="31">
        <v>1.71</v>
      </c>
      <c r="E35" s="32">
        <f t="shared" si="0"/>
        <v>34.986600000000003</v>
      </c>
      <c r="F35" s="28">
        <f t="shared" si="1"/>
        <v>11.964912280701755</v>
      </c>
    </row>
    <row r="36" spans="1:6" x14ac:dyDescent="0.2">
      <c r="A36" s="30">
        <v>12</v>
      </c>
      <c r="B36" s="27">
        <v>13</v>
      </c>
      <c r="C36" s="31">
        <v>20.58</v>
      </c>
      <c r="D36" s="31">
        <v>1.58</v>
      </c>
      <c r="E36" s="32">
        <f t="shared" si="0"/>
        <v>32.516399999999997</v>
      </c>
      <c r="F36" s="28">
        <f t="shared" si="1"/>
        <v>13.025316455696201</v>
      </c>
    </row>
    <row r="37" spans="1:6" x14ac:dyDescent="0.2">
      <c r="A37" s="30">
        <v>13</v>
      </c>
      <c r="B37" s="27">
        <v>14</v>
      </c>
      <c r="C37" s="31">
        <v>20.68</v>
      </c>
      <c r="D37" s="31">
        <v>1.48</v>
      </c>
      <c r="E37" s="32">
        <f t="shared" si="0"/>
        <v>30.606400000000001</v>
      </c>
      <c r="F37" s="28">
        <f t="shared" si="1"/>
        <v>13.972972972972974</v>
      </c>
    </row>
    <row r="38" spans="1:6" x14ac:dyDescent="0.2">
      <c r="A38" s="30">
        <v>14</v>
      </c>
      <c r="B38" s="27">
        <v>16</v>
      </c>
      <c r="C38" s="31">
        <v>20.85</v>
      </c>
      <c r="D38" s="31">
        <v>1.32</v>
      </c>
      <c r="E38" s="32">
        <f t="shared" si="0"/>
        <v>27.522000000000002</v>
      </c>
      <c r="F38" s="28">
        <f t="shared" si="1"/>
        <v>15.795454545454545</v>
      </c>
    </row>
    <row r="39" spans="1:6" x14ac:dyDescent="0.2">
      <c r="A39" s="30">
        <v>15</v>
      </c>
      <c r="B39" s="27">
        <v>18</v>
      </c>
      <c r="C39" s="31">
        <v>20.98</v>
      </c>
      <c r="D39" s="31">
        <v>1.17</v>
      </c>
      <c r="E39" s="32">
        <f t="shared" si="0"/>
        <v>24.546599999999998</v>
      </c>
      <c r="F39" s="28">
        <f t="shared" si="1"/>
        <v>17.931623931623932</v>
      </c>
    </row>
    <row r="40" spans="1:6" x14ac:dyDescent="0.2">
      <c r="A40" s="30">
        <v>16</v>
      </c>
      <c r="B40" s="27">
        <v>20</v>
      </c>
      <c r="C40" s="31">
        <v>21.09</v>
      </c>
      <c r="D40" s="31">
        <v>1.06</v>
      </c>
      <c r="E40" s="32">
        <f t="shared" si="0"/>
        <v>22.355399999999999</v>
      </c>
      <c r="F40" s="28">
        <f t="shared" si="1"/>
        <v>19.89622641509434</v>
      </c>
    </row>
    <row r="41" spans="1:6" x14ac:dyDescent="0.2">
      <c r="A41" s="30">
        <v>17</v>
      </c>
      <c r="B41" s="27">
        <v>24</v>
      </c>
      <c r="C41" s="31">
        <v>21.25</v>
      </c>
      <c r="D41" s="31">
        <v>0.89</v>
      </c>
      <c r="E41" s="32">
        <f t="shared" si="0"/>
        <v>18.912500000000001</v>
      </c>
      <c r="F41" s="28">
        <f t="shared" si="1"/>
        <v>23.876404494382022</v>
      </c>
    </row>
    <row r="42" spans="1:6" x14ac:dyDescent="0.2">
      <c r="A42" s="30">
        <v>18</v>
      </c>
      <c r="B42" s="27">
        <v>28</v>
      </c>
      <c r="C42" s="31">
        <v>21.35</v>
      </c>
      <c r="D42" s="31">
        <v>0.76</v>
      </c>
      <c r="E42" s="32">
        <f t="shared" si="0"/>
        <v>16.226000000000003</v>
      </c>
      <c r="F42" s="28">
        <f t="shared" si="1"/>
        <v>28.092105263157897</v>
      </c>
    </row>
    <row r="43" spans="1:6" x14ac:dyDescent="0.2">
      <c r="A43" s="30">
        <v>19</v>
      </c>
      <c r="B43" s="27">
        <v>33</v>
      </c>
      <c r="C43" s="31">
        <v>21.45</v>
      </c>
      <c r="D43" s="31">
        <v>0.65</v>
      </c>
      <c r="E43" s="32">
        <f t="shared" si="0"/>
        <v>13.942500000000001</v>
      </c>
      <c r="F43" s="28">
        <f t="shared" si="1"/>
        <v>33</v>
      </c>
    </row>
    <row r="44" spans="1:6" x14ac:dyDescent="0.2">
      <c r="A44" s="30">
        <v>20</v>
      </c>
      <c r="B44" s="27">
        <v>40</v>
      </c>
      <c r="C44" s="31">
        <v>21.55</v>
      </c>
      <c r="D44" s="31">
        <v>0.54</v>
      </c>
      <c r="E44" s="32">
        <f t="shared" si="0"/>
        <v>11.637</v>
      </c>
      <c r="F44" s="28">
        <f t="shared" si="1"/>
        <v>39.907407407407405</v>
      </c>
    </row>
    <row r="45" spans="1:6" x14ac:dyDescent="0.2">
      <c r="A45" s="30">
        <v>21</v>
      </c>
      <c r="B45" s="27">
        <v>50</v>
      </c>
      <c r="C45" s="31">
        <v>21.65</v>
      </c>
      <c r="D45" s="31">
        <v>0.43</v>
      </c>
      <c r="E45" s="32">
        <f t="shared" si="0"/>
        <v>9.3094999999999999</v>
      </c>
      <c r="F45" s="28">
        <f t="shared" si="1"/>
        <v>50.348837209302324</v>
      </c>
    </row>
    <row r="46" spans="1:6" x14ac:dyDescent="0.2">
      <c r="A46" s="30">
        <v>22</v>
      </c>
      <c r="B46" s="27">
        <v>70</v>
      </c>
      <c r="C46" s="31">
        <v>21.76</v>
      </c>
      <c r="D46" s="31">
        <v>0.31</v>
      </c>
      <c r="E46" s="32">
        <f t="shared" si="0"/>
        <v>6.7456000000000005</v>
      </c>
      <c r="F46" s="28">
        <f t="shared" si="1"/>
        <v>70.193548387096783</v>
      </c>
    </row>
    <row r="47" spans="1:6" x14ac:dyDescent="0.2">
      <c r="A47" s="30">
        <v>23</v>
      </c>
      <c r="B47" s="27">
        <v>110</v>
      </c>
      <c r="C47" s="31">
        <v>21.85</v>
      </c>
      <c r="D47" s="31">
        <v>0.2</v>
      </c>
      <c r="E47" s="32">
        <f t="shared" si="0"/>
        <v>4.37</v>
      </c>
      <c r="F47" s="28">
        <f t="shared" si="1"/>
        <v>109.25</v>
      </c>
    </row>
    <row r="48" spans="1:6" x14ac:dyDescent="0.2">
      <c r="A48" s="30">
        <v>24</v>
      </c>
      <c r="B48" s="27">
        <v>200</v>
      </c>
      <c r="C48" s="31">
        <v>21.92</v>
      </c>
      <c r="D48" s="31">
        <v>0.11</v>
      </c>
      <c r="E48" s="32">
        <f t="shared" si="0"/>
        <v>2.4112</v>
      </c>
      <c r="F48" s="28">
        <f t="shared" si="1"/>
        <v>199.27272727272728</v>
      </c>
    </row>
    <row r="49" spans="1:15" x14ac:dyDescent="0.2">
      <c r="A49" s="30">
        <v>25</v>
      </c>
      <c r="B49" s="27">
        <v>400</v>
      </c>
      <c r="C49" s="31">
        <v>21.96</v>
      </c>
      <c r="D49" s="31">
        <v>0.05</v>
      </c>
      <c r="E49" s="32">
        <f t="shared" si="0"/>
        <v>1.0980000000000001</v>
      </c>
      <c r="F49" s="28">
        <f t="shared" si="1"/>
        <v>439.2</v>
      </c>
    </row>
    <row r="50" spans="1:15" ht="16" x14ac:dyDescent="0.2">
      <c r="A50" s="30">
        <v>26</v>
      </c>
      <c r="B50" s="27" t="s">
        <v>54</v>
      </c>
      <c r="C50" s="31">
        <v>21.98</v>
      </c>
      <c r="D50" s="31">
        <v>0</v>
      </c>
      <c r="E50" s="32">
        <f t="shared" si="0"/>
        <v>0</v>
      </c>
      <c r="F50" s="28" t="str">
        <f t="shared" si="1"/>
        <v>-</v>
      </c>
    </row>
    <row r="52" spans="1:15" x14ac:dyDescent="0.2">
      <c r="A52" s="81" t="s">
        <v>55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6" spans="1:15" ht="21" x14ac:dyDescent="0.2">
      <c r="A56" s="89" t="s">
        <v>64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</row>
    <row r="58" spans="1:15" ht="120" x14ac:dyDescent="0.2">
      <c r="A58" s="20" t="s">
        <v>0</v>
      </c>
      <c r="B58" s="21">
        <v>46273</v>
      </c>
      <c r="D58" s="20" t="s">
        <v>1</v>
      </c>
      <c r="E58" s="22">
        <v>0.59375</v>
      </c>
      <c r="H58" s="23" t="s">
        <v>2</v>
      </c>
    </row>
    <row r="60" spans="1:15" x14ac:dyDescent="0.2">
      <c r="A60" s="76" t="s">
        <v>3</v>
      </c>
      <c r="B60" s="76"/>
    </row>
    <row r="61" spans="1:15" ht="48" x14ac:dyDescent="0.2">
      <c r="A61" s="24" t="s">
        <v>4</v>
      </c>
      <c r="B61" s="77" t="s">
        <v>65</v>
      </c>
      <c r="C61" s="77"/>
      <c r="D61" s="77"/>
    </row>
    <row r="62" spans="1:15" ht="48" x14ac:dyDescent="0.2">
      <c r="A62" s="24" t="s">
        <v>5</v>
      </c>
      <c r="B62" s="77" t="s">
        <v>66</v>
      </c>
      <c r="C62" s="77"/>
      <c r="D62" s="77"/>
    </row>
    <row r="63" spans="1:15" ht="48" x14ac:dyDescent="0.2">
      <c r="A63" s="24" t="s">
        <v>7</v>
      </c>
      <c r="B63" s="77" t="s">
        <v>8</v>
      </c>
      <c r="C63" s="77"/>
      <c r="D63" s="77"/>
    </row>
    <row r="64" spans="1:15" ht="48" x14ac:dyDescent="0.2">
      <c r="A64" s="24" t="s">
        <v>9</v>
      </c>
      <c r="B64" s="77"/>
      <c r="C64" s="77"/>
      <c r="D64" s="77"/>
    </row>
    <row r="66" spans="1:15" ht="14.75" customHeight="1" x14ac:dyDescent="0.2">
      <c r="A66" s="76" t="s">
        <v>11</v>
      </c>
      <c r="B66" s="76"/>
      <c r="C66" s="76"/>
      <c r="D66" s="76"/>
      <c r="I66" s="76" t="s">
        <v>12</v>
      </c>
      <c r="J66" s="76"/>
      <c r="K66" s="76"/>
      <c r="L66" s="76"/>
    </row>
    <row r="67" spans="1:15" ht="16" x14ac:dyDescent="0.2">
      <c r="A67" s="25" t="s">
        <v>13</v>
      </c>
      <c r="B67" s="25" t="s">
        <v>14</v>
      </c>
      <c r="C67" s="25" t="s">
        <v>15</v>
      </c>
      <c r="D67" s="25" t="s">
        <v>16</v>
      </c>
      <c r="F67" s="25" t="s">
        <v>17</v>
      </c>
      <c r="G67" s="25" t="s">
        <v>18</v>
      </c>
      <c r="I67" s="25" t="s">
        <v>13</v>
      </c>
      <c r="J67" s="25" t="s">
        <v>14</v>
      </c>
      <c r="K67" s="25" t="s">
        <v>15</v>
      </c>
      <c r="L67" s="25" t="s">
        <v>16</v>
      </c>
      <c r="N67" s="25" t="s">
        <v>17</v>
      </c>
      <c r="O67" s="25" t="s">
        <v>18</v>
      </c>
    </row>
    <row r="68" spans="1:15" ht="16" x14ac:dyDescent="0.2">
      <c r="A68" s="26" t="s">
        <v>19</v>
      </c>
      <c r="B68" s="27">
        <v>54.9</v>
      </c>
      <c r="C68" s="27">
        <v>53.4</v>
      </c>
      <c r="D68" s="27">
        <v>52</v>
      </c>
      <c r="F68" s="20" t="s">
        <v>20</v>
      </c>
      <c r="G68" s="28">
        <f>IFERROR(AVERAGE(B68:D70),"-")</f>
        <v>51.4</v>
      </c>
      <c r="I68" s="26" t="s">
        <v>19</v>
      </c>
      <c r="J68" s="27">
        <v>846.9</v>
      </c>
      <c r="K68" s="27">
        <v>861.4</v>
      </c>
      <c r="L68" s="27">
        <v>858.1</v>
      </c>
      <c r="N68" s="20" t="s">
        <v>20</v>
      </c>
      <c r="O68" s="28">
        <f>IFERROR(AVERAGE(J68:L70),"-")</f>
        <v>854.11111111111109</v>
      </c>
    </row>
    <row r="69" spans="1:15" ht="16" x14ac:dyDescent="0.2">
      <c r="A69" s="26" t="s">
        <v>21</v>
      </c>
      <c r="B69" s="29">
        <v>51.4</v>
      </c>
      <c r="C69" s="29">
        <v>52.1</v>
      </c>
      <c r="D69" s="29">
        <v>51.2</v>
      </c>
      <c r="F69" s="20" t="s">
        <v>22</v>
      </c>
      <c r="G69" s="28">
        <f>IFERROR(MIN(B68:D70),"-")</f>
        <v>48.4</v>
      </c>
      <c r="I69" s="26" t="s">
        <v>21</v>
      </c>
      <c r="J69" s="29">
        <v>850.9</v>
      </c>
      <c r="K69" s="29">
        <v>853.5</v>
      </c>
      <c r="L69" s="29">
        <v>854.4</v>
      </c>
      <c r="N69" s="20" t="s">
        <v>22</v>
      </c>
      <c r="O69" s="28">
        <f>IFERROR(MIN(J68:L70),"-")</f>
        <v>844.2</v>
      </c>
    </row>
    <row r="70" spans="1:15" ht="16" x14ac:dyDescent="0.2">
      <c r="A70" s="26" t="s">
        <v>23</v>
      </c>
      <c r="B70" s="29">
        <v>49.9</v>
      </c>
      <c r="C70" s="29">
        <v>49.3</v>
      </c>
      <c r="D70" s="29">
        <v>48.4</v>
      </c>
      <c r="F70" s="20" t="s">
        <v>24</v>
      </c>
      <c r="G70" s="28">
        <f>IFERROR(MAX(B68:D70),"-")</f>
        <v>54.9</v>
      </c>
      <c r="I70" s="26" t="s">
        <v>23</v>
      </c>
      <c r="J70" s="29">
        <v>844.2</v>
      </c>
      <c r="K70" s="29">
        <v>855.3</v>
      </c>
      <c r="L70" s="29">
        <v>862.3</v>
      </c>
      <c r="N70" s="20" t="s">
        <v>24</v>
      </c>
      <c r="O70" s="28">
        <f>IFERROR(MAX(J68:L70),"-")</f>
        <v>862.3</v>
      </c>
    </row>
    <row r="71" spans="1:15" x14ac:dyDescent="0.2">
      <c r="F71" s="20" t="s">
        <v>25</v>
      </c>
      <c r="G71" s="28">
        <f>IFERROR(G70-G69,"-")</f>
        <v>6.5</v>
      </c>
      <c r="N71" s="20" t="s">
        <v>25</v>
      </c>
      <c r="O71" s="28">
        <f>IFERROR(O70-O69,"-")</f>
        <v>18.099999999999909</v>
      </c>
    </row>
    <row r="72" spans="1:15" x14ac:dyDescent="0.2">
      <c r="F72" s="20" t="s">
        <v>26</v>
      </c>
      <c r="G72" s="28">
        <f>IFERROR(STDEV(B68:D70),"-")</f>
        <v>2.0248456731316589</v>
      </c>
      <c r="N72" s="20" t="s">
        <v>26</v>
      </c>
      <c r="O72" s="28">
        <f>IFERROR(STDEV(J68:L70),"-")</f>
        <v>6.1084868102592251</v>
      </c>
    </row>
    <row r="73" spans="1:15" x14ac:dyDescent="0.2">
      <c r="N73" s="20" t="s">
        <v>27</v>
      </c>
      <c r="O73" s="28">
        <f>IFERROR((1-((O70-O69)/(2*O68)))*100,"-")</f>
        <v>98.940418889033438</v>
      </c>
    </row>
    <row r="75" spans="1:15" x14ac:dyDescent="0.2">
      <c r="A75" s="76" t="s">
        <v>28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</row>
    <row r="76" spans="1:15" x14ac:dyDescent="0.2">
      <c r="A76" s="20" t="s">
        <v>29</v>
      </c>
      <c r="B76" s="27"/>
      <c r="D76" s="20" t="s">
        <v>30</v>
      </c>
      <c r="E76" s="27"/>
      <c r="G76" s="20" t="s">
        <v>31</v>
      </c>
      <c r="H76" s="27"/>
      <c r="K76" s="20" t="s">
        <v>33</v>
      </c>
      <c r="L76" s="27"/>
    </row>
    <row r="78" spans="1:15" ht="14.75" customHeight="1" x14ac:dyDescent="0.2">
      <c r="A78" s="76" t="s">
        <v>35</v>
      </c>
      <c r="B78" s="76"/>
      <c r="C78" s="76"/>
      <c r="D78" s="76"/>
      <c r="E78" s="76"/>
      <c r="F78" s="76"/>
      <c r="H78" s="76" t="s">
        <v>36</v>
      </c>
      <c r="I78" s="76"/>
    </row>
    <row r="79" spans="1:15" ht="32" x14ac:dyDescent="0.2">
      <c r="A79" s="25" t="s">
        <v>37</v>
      </c>
      <c r="B79" s="25" t="s">
        <v>38</v>
      </c>
      <c r="C79" s="25" t="s">
        <v>39</v>
      </c>
      <c r="D79" s="25" t="s">
        <v>40</v>
      </c>
      <c r="E79" s="25" t="s">
        <v>41</v>
      </c>
      <c r="F79" s="25" t="s">
        <v>42</v>
      </c>
      <c r="K79" s="17" t="s">
        <v>43</v>
      </c>
      <c r="L79" s="17" t="s">
        <v>44</v>
      </c>
    </row>
    <row r="80" spans="1:15" ht="16" x14ac:dyDescent="0.2">
      <c r="A80" s="30">
        <v>1</v>
      </c>
      <c r="B80" s="27">
        <v>2</v>
      </c>
      <c r="C80" s="31">
        <v>9.02</v>
      </c>
      <c r="D80" s="31">
        <v>4.47</v>
      </c>
      <c r="E80" s="32">
        <f t="shared" ref="E80:E105" si="2">IF(OR(C80="",D80=""),"-",C80*D80)</f>
        <v>40.319399999999995</v>
      </c>
      <c r="F80" s="28">
        <f t="shared" ref="F80:F105" si="3">IFERROR(C80/D80,"-")</f>
        <v>2.0178970917225949</v>
      </c>
      <c r="H80" s="24" t="s">
        <v>45</v>
      </c>
      <c r="I80" s="32">
        <f>IFERROR(INDEX(C80:C105,MATCH("open",B80:B105,0)),"-")</f>
        <v>22.07</v>
      </c>
      <c r="K80" s="18">
        <f>IF(ISNUMBER(I81),0,NA())</f>
        <v>0</v>
      </c>
      <c r="L80" s="19">
        <f>IF(ISNUMBER(I81),MIN(I81,$L$22),NA())</f>
        <v>4.5109070294784566</v>
      </c>
    </row>
    <row r="81" spans="1:12" ht="48" x14ac:dyDescent="0.2">
      <c r="A81" s="30">
        <v>2</v>
      </c>
      <c r="B81" s="27">
        <v>3</v>
      </c>
      <c r="C81" s="31">
        <v>13.43</v>
      </c>
      <c r="D81" s="31">
        <v>4.45</v>
      </c>
      <c r="E81" s="32">
        <f t="shared" si="2"/>
        <v>59.763500000000001</v>
      </c>
      <c r="F81" s="28">
        <f t="shared" si="3"/>
        <v>3.0179775280898875</v>
      </c>
      <c r="H81" s="24" t="s">
        <v>46</v>
      </c>
      <c r="I81" s="33">
        <f>IFERROR(D80-C80*(D81-D80)/(C81-C80),"-")</f>
        <v>4.5109070294784566</v>
      </c>
      <c r="K81" s="18">
        <f>IF(ISNUMBER(C80),C80,NA())</f>
        <v>9.02</v>
      </c>
      <c r="L81" s="19">
        <f>IF(ISNUMBER(D80),D80,NA())</f>
        <v>4.47</v>
      </c>
    </row>
    <row r="82" spans="1:12" ht="16" x14ac:dyDescent="0.2">
      <c r="A82" s="30">
        <v>3</v>
      </c>
      <c r="B82" s="27">
        <v>4</v>
      </c>
      <c r="C82" s="31">
        <v>16.41</v>
      </c>
      <c r="D82" s="31">
        <v>4.09</v>
      </c>
      <c r="E82" s="32">
        <f t="shared" si="2"/>
        <v>67.116900000000001</v>
      </c>
      <c r="F82" s="28">
        <f t="shared" si="3"/>
        <v>4.0122249388753062</v>
      </c>
      <c r="H82" s="24" t="s">
        <v>47</v>
      </c>
      <c r="I82" s="33">
        <f>IFERROR(MAX(E80:E105),"-")</f>
        <v>67.116900000000001</v>
      </c>
      <c r="K82" t="s">
        <v>48</v>
      </c>
      <c r="L82" t="str">
        <f>IF(NOT(ISNUMBER(I81)),"",IF(I81&gt;$L$22,"Yes","No"))</f>
        <v>No</v>
      </c>
    </row>
    <row r="83" spans="1:12" ht="16" x14ac:dyDescent="0.2">
      <c r="A83" s="30">
        <v>4</v>
      </c>
      <c r="B83" s="27">
        <v>5</v>
      </c>
      <c r="C83" s="31">
        <v>17.850000000000001</v>
      </c>
      <c r="D83" s="31">
        <v>3.53</v>
      </c>
      <c r="E83" s="32">
        <f t="shared" si="2"/>
        <v>63.0105</v>
      </c>
      <c r="F83" s="28">
        <f t="shared" si="3"/>
        <v>5.0566572237960346</v>
      </c>
      <c r="H83" s="24" t="s">
        <v>49</v>
      </c>
      <c r="I83" s="32">
        <f>IFERROR(INDEX(C80:C105,MATCH(I82,E80:E105,0)),"-")</f>
        <v>16.41</v>
      </c>
    </row>
    <row r="84" spans="1:12" ht="16" x14ac:dyDescent="0.2">
      <c r="A84" s="30">
        <v>5</v>
      </c>
      <c r="B84" s="27">
        <v>6</v>
      </c>
      <c r="C84" s="31">
        <v>18.63</v>
      </c>
      <c r="D84" s="31">
        <v>3.1</v>
      </c>
      <c r="E84" s="32">
        <f t="shared" si="2"/>
        <v>57.753</v>
      </c>
      <c r="F84" s="28">
        <f t="shared" si="3"/>
        <v>6.0096774193548379</v>
      </c>
      <c r="H84" s="24" t="s">
        <v>50</v>
      </c>
      <c r="I84" s="32">
        <f>IFERROR(INDEX(D80:D105,MATCH(I82,E80:E105,0)),"-")</f>
        <v>4.09</v>
      </c>
    </row>
    <row r="85" spans="1:12" ht="32" x14ac:dyDescent="0.2">
      <c r="A85" s="30">
        <v>6</v>
      </c>
      <c r="B85" s="27">
        <v>7</v>
      </c>
      <c r="C85" s="31">
        <v>19.16</v>
      </c>
      <c r="D85" s="31">
        <v>2.73</v>
      </c>
      <c r="E85" s="32">
        <f t="shared" si="2"/>
        <v>52.306800000000003</v>
      </c>
      <c r="F85" s="28">
        <f t="shared" si="3"/>
        <v>7.0183150183150182</v>
      </c>
      <c r="H85" s="24" t="s">
        <v>51</v>
      </c>
      <c r="I85" s="14">
        <f>IFERROR(I83/I84,"-")</f>
        <v>4.0122249388753062</v>
      </c>
    </row>
    <row r="86" spans="1:12" ht="16" x14ac:dyDescent="0.2">
      <c r="A86" s="30">
        <v>7</v>
      </c>
      <c r="B86" s="27">
        <v>8</v>
      </c>
      <c r="C86" s="31">
        <v>19.54</v>
      </c>
      <c r="D86" s="31">
        <v>2.44</v>
      </c>
      <c r="E86" s="32">
        <f t="shared" si="2"/>
        <v>47.677599999999998</v>
      </c>
      <c r="F86" s="28">
        <f t="shared" si="3"/>
        <v>8.0081967213114744</v>
      </c>
      <c r="H86" s="24" t="s">
        <v>52</v>
      </c>
      <c r="I86" s="14">
        <f>IFERROR(I82/(I80*I81),"-")</f>
        <v>0.67416418919523613</v>
      </c>
    </row>
    <row r="87" spans="1:12" ht="32" x14ac:dyDescent="0.2">
      <c r="A87" s="30">
        <v>8</v>
      </c>
      <c r="B87" s="27">
        <v>9</v>
      </c>
      <c r="C87" s="31">
        <v>19.829999999999998</v>
      </c>
      <c r="D87" s="31">
        <v>2.2000000000000002</v>
      </c>
      <c r="E87" s="32">
        <f t="shared" si="2"/>
        <v>43.625999999999998</v>
      </c>
      <c r="F87" s="28">
        <f t="shared" si="3"/>
        <v>9.0136363636363619</v>
      </c>
      <c r="H87" s="24" t="s">
        <v>53</v>
      </c>
      <c r="I87" s="15">
        <f>COUNT(D80:D105)</f>
        <v>26</v>
      </c>
    </row>
    <row r="88" spans="1:12" x14ac:dyDescent="0.2">
      <c r="A88" s="30">
        <v>9</v>
      </c>
      <c r="B88" s="27">
        <v>10</v>
      </c>
      <c r="C88" s="31">
        <v>20.05</v>
      </c>
      <c r="D88" s="31">
        <v>2.0099999999999998</v>
      </c>
      <c r="E88" s="32">
        <f t="shared" si="2"/>
        <v>40.3005</v>
      </c>
      <c r="F88" s="28">
        <f t="shared" si="3"/>
        <v>9.9751243781094541</v>
      </c>
    </row>
    <row r="89" spans="1:12" x14ac:dyDescent="0.2">
      <c r="A89" s="30">
        <v>10</v>
      </c>
      <c r="B89" s="27">
        <v>11</v>
      </c>
      <c r="C89" s="31">
        <v>20.48</v>
      </c>
      <c r="D89" s="31">
        <v>1.84</v>
      </c>
      <c r="E89" s="32">
        <f t="shared" si="2"/>
        <v>37.683199999999999</v>
      </c>
      <c r="F89" s="28">
        <f t="shared" si="3"/>
        <v>11.130434782608695</v>
      </c>
    </row>
    <row r="90" spans="1:12" x14ac:dyDescent="0.2">
      <c r="A90" s="30">
        <v>11</v>
      </c>
      <c r="B90" s="27">
        <v>12</v>
      </c>
      <c r="C90" s="31">
        <v>20.5</v>
      </c>
      <c r="D90" s="31">
        <v>1.7</v>
      </c>
      <c r="E90" s="32">
        <f t="shared" si="2"/>
        <v>34.85</v>
      </c>
      <c r="F90" s="28">
        <f t="shared" si="3"/>
        <v>12.058823529411764</v>
      </c>
    </row>
    <row r="91" spans="1:12" x14ac:dyDescent="0.2">
      <c r="A91" s="30">
        <v>12</v>
      </c>
      <c r="B91" s="27">
        <v>13</v>
      </c>
      <c r="C91" s="31">
        <v>20.53</v>
      </c>
      <c r="D91" s="31">
        <v>1.58</v>
      </c>
      <c r="E91" s="32">
        <f t="shared" si="2"/>
        <v>32.437400000000004</v>
      </c>
      <c r="F91" s="28">
        <f t="shared" si="3"/>
        <v>12.99367088607595</v>
      </c>
    </row>
    <row r="92" spans="1:12" x14ac:dyDescent="0.2">
      <c r="A92" s="30">
        <v>13</v>
      </c>
      <c r="B92" s="27">
        <v>14</v>
      </c>
      <c r="C92" s="31">
        <v>20.64</v>
      </c>
      <c r="D92" s="31">
        <v>1.48</v>
      </c>
      <c r="E92" s="32">
        <f t="shared" si="2"/>
        <v>30.5472</v>
      </c>
      <c r="F92" s="28">
        <f t="shared" si="3"/>
        <v>13.945945945945946</v>
      </c>
    </row>
    <row r="93" spans="1:12" x14ac:dyDescent="0.2">
      <c r="A93" s="30">
        <v>14</v>
      </c>
      <c r="B93" s="27">
        <v>16</v>
      </c>
      <c r="C93" s="31">
        <v>20.8</v>
      </c>
      <c r="D93" s="31">
        <v>1.3</v>
      </c>
      <c r="E93" s="32">
        <f t="shared" si="2"/>
        <v>27.040000000000003</v>
      </c>
      <c r="F93" s="28">
        <f t="shared" si="3"/>
        <v>16</v>
      </c>
    </row>
    <row r="94" spans="1:12" x14ac:dyDescent="0.2">
      <c r="A94" s="30">
        <v>15</v>
      </c>
      <c r="B94" s="27">
        <v>18</v>
      </c>
      <c r="C94" s="31">
        <v>20.93</v>
      </c>
      <c r="D94" s="31">
        <v>1.1599999999999999</v>
      </c>
      <c r="E94" s="32">
        <f t="shared" si="2"/>
        <v>24.278799999999997</v>
      </c>
      <c r="F94" s="28">
        <f t="shared" si="3"/>
        <v>18.043103448275865</v>
      </c>
    </row>
    <row r="95" spans="1:12" x14ac:dyDescent="0.2">
      <c r="A95" s="30">
        <v>16</v>
      </c>
      <c r="B95" s="27">
        <v>20</v>
      </c>
      <c r="C95" s="31">
        <v>21.03</v>
      </c>
      <c r="D95" s="31">
        <v>1.05</v>
      </c>
      <c r="E95" s="32">
        <f t="shared" si="2"/>
        <v>22.081500000000002</v>
      </c>
      <c r="F95" s="28">
        <f t="shared" si="3"/>
        <v>20.028571428571428</v>
      </c>
    </row>
    <row r="96" spans="1:12" x14ac:dyDescent="0.2">
      <c r="A96" s="30">
        <v>17</v>
      </c>
      <c r="B96" s="27">
        <v>24</v>
      </c>
      <c r="C96" s="31">
        <v>21.19</v>
      </c>
      <c r="D96" s="31">
        <v>0.88</v>
      </c>
      <c r="E96" s="32">
        <f t="shared" si="2"/>
        <v>18.647200000000002</v>
      </c>
      <c r="F96" s="28">
        <f t="shared" si="3"/>
        <v>24.079545454545457</v>
      </c>
    </row>
    <row r="97" spans="1:15" x14ac:dyDescent="0.2">
      <c r="A97" s="30">
        <v>18</v>
      </c>
      <c r="B97" s="27">
        <v>28</v>
      </c>
      <c r="C97" s="31">
        <v>21.3</v>
      </c>
      <c r="D97" s="31">
        <v>0.76</v>
      </c>
      <c r="E97" s="32">
        <f t="shared" si="2"/>
        <v>16.188000000000002</v>
      </c>
      <c r="F97" s="28">
        <f t="shared" si="3"/>
        <v>28.026315789473685</v>
      </c>
    </row>
    <row r="98" spans="1:15" x14ac:dyDescent="0.2">
      <c r="A98" s="30">
        <v>19</v>
      </c>
      <c r="B98" s="27">
        <v>33</v>
      </c>
      <c r="C98" s="31">
        <v>21.4</v>
      </c>
      <c r="D98" s="31">
        <v>0.65</v>
      </c>
      <c r="E98" s="32">
        <f t="shared" si="2"/>
        <v>13.91</v>
      </c>
      <c r="F98" s="28">
        <f t="shared" si="3"/>
        <v>32.92307692307692</v>
      </c>
    </row>
    <row r="99" spans="1:15" x14ac:dyDescent="0.2">
      <c r="A99" s="30">
        <v>20</v>
      </c>
      <c r="B99" s="27">
        <v>40</v>
      </c>
      <c r="C99" s="31">
        <v>21.5</v>
      </c>
      <c r="D99" s="31">
        <v>0.54</v>
      </c>
      <c r="E99" s="32">
        <f t="shared" si="2"/>
        <v>11.610000000000001</v>
      </c>
      <c r="F99" s="28">
        <f t="shared" si="3"/>
        <v>39.81481481481481</v>
      </c>
    </row>
    <row r="100" spans="1:15" x14ac:dyDescent="0.2">
      <c r="A100" s="30">
        <v>21</v>
      </c>
      <c r="B100" s="27">
        <v>50</v>
      </c>
      <c r="C100" s="31">
        <v>21.61</v>
      </c>
      <c r="D100" s="31">
        <v>0.43</v>
      </c>
      <c r="E100" s="32">
        <f t="shared" si="2"/>
        <v>9.2922999999999991</v>
      </c>
      <c r="F100" s="28">
        <f t="shared" si="3"/>
        <v>50.255813953488371</v>
      </c>
    </row>
    <row r="101" spans="1:15" x14ac:dyDescent="0.2">
      <c r="A101" s="30">
        <v>22</v>
      </c>
      <c r="B101" s="27">
        <v>70</v>
      </c>
      <c r="C101" s="31">
        <v>21.73</v>
      </c>
      <c r="D101" s="31">
        <v>0.31</v>
      </c>
      <c r="E101" s="32">
        <f t="shared" si="2"/>
        <v>6.7363</v>
      </c>
      <c r="F101" s="28">
        <f t="shared" si="3"/>
        <v>70.096774193548384</v>
      </c>
    </row>
    <row r="102" spans="1:15" x14ac:dyDescent="0.2">
      <c r="A102" s="30">
        <v>23</v>
      </c>
      <c r="B102" s="27">
        <v>110</v>
      </c>
      <c r="C102" s="31">
        <v>21.84</v>
      </c>
      <c r="D102" s="31">
        <v>0.2</v>
      </c>
      <c r="E102" s="32">
        <f t="shared" si="2"/>
        <v>4.3680000000000003</v>
      </c>
      <c r="F102" s="28">
        <f t="shared" si="3"/>
        <v>109.19999999999999</v>
      </c>
    </row>
    <row r="103" spans="1:15" x14ac:dyDescent="0.2">
      <c r="A103" s="30">
        <v>24</v>
      </c>
      <c r="B103" s="27">
        <v>200</v>
      </c>
      <c r="C103" s="31">
        <v>21.96</v>
      </c>
      <c r="D103" s="31">
        <v>0.11</v>
      </c>
      <c r="E103" s="32">
        <f t="shared" si="2"/>
        <v>2.4156</v>
      </c>
      <c r="F103" s="28">
        <f t="shared" si="3"/>
        <v>199.63636363636365</v>
      </c>
    </row>
    <row r="104" spans="1:15" x14ac:dyDescent="0.2">
      <c r="A104" s="30">
        <v>25</v>
      </c>
      <c r="B104" s="27">
        <v>400</v>
      </c>
      <c r="C104" s="31">
        <v>22.02</v>
      </c>
      <c r="D104" s="31">
        <v>0.05</v>
      </c>
      <c r="E104" s="32">
        <f t="shared" si="2"/>
        <v>1.101</v>
      </c>
      <c r="F104" s="28">
        <f t="shared" si="3"/>
        <v>440.4</v>
      </c>
    </row>
    <row r="105" spans="1:15" ht="16" x14ac:dyDescent="0.2">
      <c r="A105" s="30">
        <v>26</v>
      </c>
      <c r="B105" s="27" t="s">
        <v>54</v>
      </c>
      <c r="C105" s="31">
        <v>22.07</v>
      </c>
      <c r="D105" s="31">
        <v>0</v>
      </c>
      <c r="E105" s="32">
        <f t="shared" si="2"/>
        <v>0</v>
      </c>
      <c r="F105" s="28" t="str">
        <f t="shared" si="3"/>
        <v>-</v>
      </c>
    </row>
    <row r="107" spans="1:15" x14ac:dyDescent="0.2">
      <c r="A107" s="81" t="s">
        <v>55</v>
      </c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</row>
    <row r="111" spans="1:15" ht="21" x14ac:dyDescent="0.2">
      <c r="A111" s="89" t="s">
        <v>64</v>
      </c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</row>
    <row r="113" spans="1:15" ht="120" x14ac:dyDescent="0.2">
      <c r="A113" s="20" t="s">
        <v>0</v>
      </c>
      <c r="B113" s="21">
        <v>46273</v>
      </c>
      <c r="D113" s="20" t="s">
        <v>1</v>
      </c>
      <c r="E113" s="22">
        <v>0.60416666666666663</v>
      </c>
      <c r="H113" s="23" t="s">
        <v>2</v>
      </c>
    </row>
    <row r="115" spans="1:15" x14ac:dyDescent="0.2">
      <c r="A115" s="76" t="s">
        <v>3</v>
      </c>
      <c r="B115" s="76"/>
    </row>
    <row r="116" spans="1:15" ht="48" x14ac:dyDescent="0.2">
      <c r="A116" s="24" t="s">
        <v>4</v>
      </c>
      <c r="B116" s="77" t="s">
        <v>65</v>
      </c>
      <c r="C116" s="77"/>
      <c r="D116" s="77"/>
    </row>
    <row r="117" spans="1:15" ht="48" x14ac:dyDescent="0.2">
      <c r="A117" s="24" t="s">
        <v>5</v>
      </c>
      <c r="B117" s="77" t="s">
        <v>66</v>
      </c>
      <c r="C117" s="77"/>
      <c r="D117" s="77"/>
    </row>
    <row r="118" spans="1:15" ht="48" x14ac:dyDescent="0.2">
      <c r="A118" s="24" t="s">
        <v>7</v>
      </c>
      <c r="B118" s="77" t="s">
        <v>8</v>
      </c>
      <c r="C118" s="77"/>
      <c r="D118" s="77"/>
    </row>
    <row r="119" spans="1:15" ht="48" x14ac:dyDescent="0.2">
      <c r="A119" s="24" t="s">
        <v>9</v>
      </c>
      <c r="B119" s="77"/>
      <c r="C119" s="77"/>
      <c r="D119" s="77"/>
    </row>
    <row r="121" spans="1:15" ht="14.75" customHeight="1" x14ac:dyDescent="0.2">
      <c r="A121" s="76" t="s">
        <v>11</v>
      </c>
      <c r="B121" s="76"/>
      <c r="C121" s="76"/>
      <c r="D121" s="76"/>
      <c r="I121" s="76" t="s">
        <v>12</v>
      </c>
      <c r="J121" s="76"/>
      <c r="K121" s="76"/>
      <c r="L121" s="76"/>
    </row>
    <row r="122" spans="1:15" ht="16" x14ac:dyDescent="0.2">
      <c r="A122" s="25" t="s">
        <v>13</v>
      </c>
      <c r="B122" s="25" t="s">
        <v>14</v>
      </c>
      <c r="C122" s="25" t="s">
        <v>15</v>
      </c>
      <c r="D122" s="25" t="s">
        <v>16</v>
      </c>
      <c r="F122" s="25" t="s">
        <v>17</v>
      </c>
      <c r="G122" s="25" t="s">
        <v>18</v>
      </c>
      <c r="I122" s="25" t="s">
        <v>13</v>
      </c>
      <c r="J122" s="25" t="s">
        <v>14</v>
      </c>
      <c r="K122" s="25" t="s">
        <v>15</v>
      </c>
      <c r="L122" s="25" t="s">
        <v>16</v>
      </c>
      <c r="N122" s="25" t="s">
        <v>17</v>
      </c>
      <c r="O122" s="25" t="s">
        <v>18</v>
      </c>
    </row>
    <row r="123" spans="1:15" ht="16" x14ac:dyDescent="0.2">
      <c r="A123" s="26" t="s">
        <v>19</v>
      </c>
      <c r="B123" s="27">
        <v>52.2</v>
      </c>
      <c r="C123" s="27">
        <v>51</v>
      </c>
      <c r="D123" s="27">
        <v>49.6</v>
      </c>
      <c r="F123" s="20" t="s">
        <v>20</v>
      </c>
      <c r="G123" s="28">
        <f>IFERROR(AVERAGE(B123:D125),"-")</f>
        <v>50.512500000000003</v>
      </c>
      <c r="I123" s="26" t="s">
        <v>19</v>
      </c>
      <c r="J123" s="27">
        <v>789.4</v>
      </c>
      <c r="K123" s="27">
        <v>854.6</v>
      </c>
      <c r="L123" s="27">
        <v>865.4</v>
      </c>
      <c r="N123" s="20" t="s">
        <v>20</v>
      </c>
      <c r="O123" s="28">
        <f>IFERROR(AVERAGE(J123:L125),"-")</f>
        <v>852.78888888888878</v>
      </c>
    </row>
    <row r="124" spans="1:15" ht="16" x14ac:dyDescent="0.2">
      <c r="A124" s="26" t="s">
        <v>21</v>
      </c>
      <c r="B124" s="29" t="s">
        <v>69</v>
      </c>
      <c r="C124" s="29">
        <v>53.5</v>
      </c>
      <c r="D124" s="29">
        <v>50.5</v>
      </c>
      <c r="F124" s="20" t="s">
        <v>22</v>
      </c>
      <c r="G124" s="28">
        <f>IFERROR(MIN(B123:D125),"-")</f>
        <v>48.8</v>
      </c>
      <c r="I124" s="26" t="s">
        <v>21</v>
      </c>
      <c r="J124" s="29">
        <v>854.8</v>
      </c>
      <c r="K124" s="29">
        <v>857.7</v>
      </c>
      <c r="L124" s="29">
        <v>864.7</v>
      </c>
      <c r="N124" s="20" t="s">
        <v>22</v>
      </c>
      <c r="O124" s="28">
        <f>IFERROR(MIN(J123:L125),"-")</f>
        <v>789.4</v>
      </c>
    </row>
    <row r="125" spans="1:15" ht="16" x14ac:dyDescent="0.2">
      <c r="A125" s="26" t="s">
        <v>23</v>
      </c>
      <c r="B125" s="29">
        <v>48.8</v>
      </c>
      <c r="C125" s="29">
        <v>49.5</v>
      </c>
      <c r="D125" s="29">
        <v>49</v>
      </c>
      <c r="F125" s="20" t="s">
        <v>24</v>
      </c>
      <c r="G125" s="28">
        <f>IFERROR(MAX(B123:D125),"-")</f>
        <v>53.5</v>
      </c>
      <c r="I125" s="26" t="s">
        <v>23</v>
      </c>
      <c r="J125" s="29">
        <v>859.4</v>
      </c>
      <c r="K125" s="29">
        <v>861.4</v>
      </c>
      <c r="L125" s="29">
        <v>867.7</v>
      </c>
      <c r="N125" s="20" t="s">
        <v>24</v>
      </c>
      <c r="O125" s="28">
        <f>IFERROR(MAX(J123:L125),"-")</f>
        <v>867.7</v>
      </c>
    </row>
    <row r="126" spans="1:15" x14ac:dyDescent="0.2">
      <c r="F126" s="20" t="s">
        <v>25</v>
      </c>
      <c r="G126" s="28">
        <f>IFERROR(G125-G124,"-")</f>
        <v>4.7000000000000028</v>
      </c>
      <c r="N126" s="20" t="s">
        <v>25</v>
      </c>
      <c r="O126" s="28">
        <f>IFERROR(O125-O124,"-")</f>
        <v>78.300000000000068</v>
      </c>
    </row>
    <row r="127" spans="1:15" x14ac:dyDescent="0.2">
      <c r="F127" s="20" t="s">
        <v>26</v>
      </c>
      <c r="G127" s="28">
        <f>IFERROR(STDEV(B123:D125),"-")</f>
        <v>1.6513522597296701</v>
      </c>
      <c r="N127" s="20" t="s">
        <v>26</v>
      </c>
      <c r="O127" s="28">
        <f>IFERROR(STDEV(J123:L125),"-")</f>
        <v>24.214429811810803</v>
      </c>
    </row>
    <row r="128" spans="1:15" x14ac:dyDescent="0.2">
      <c r="N128" s="20" t="s">
        <v>27</v>
      </c>
      <c r="O128" s="28">
        <f>IFERROR((1-((O125-O124)/(2*O123)))*100,"-")</f>
        <v>95.409180336412547</v>
      </c>
    </row>
    <row r="130" spans="1:15" x14ac:dyDescent="0.2">
      <c r="A130" s="76" t="s">
        <v>28</v>
      </c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 x14ac:dyDescent="0.2">
      <c r="A131" s="20" t="s">
        <v>29</v>
      </c>
      <c r="B131" s="27"/>
      <c r="D131" s="20" t="s">
        <v>30</v>
      </c>
      <c r="E131" s="27"/>
      <c r="G131" s="20" t="s">
        <v>31</v>
      </c>
      <c r="H131" s="27"/>
      <c r="K131" s="20" t="s">
        <v>33</v>
      </c>
      <c r="L131" s="27"/>
    </row>
    <row r="133" spans="1:15" ht="14.75" customHeight="1" x14ac:dyDescent="0.2">
      <c r="A133" s="76" t="s">
        <v>35</v>
      </c>
      <c r="B133" s="76"/>
      <c r="C133" s="76"/>
      <c r="D133" s="76"/>
      <c r="E133" s="76"/>
      <c r="F133" s="76"/>
      <c r="H133" s="76" t="s">
        <v>36</v>
      </c>
      <c r="I133" s="76"/>
    </row>
    <row r="134" spans="1:15" ht="32" x14ac:dyDescent="0.2">
      <c r="A134" s="25" t="s">
        <v>37</v>
      </c>
      <c r="B134" s="25" t="s">
        <v>38</v>
      </c>
      <c r="C134" s="25" t="s">
        <v>39</v>
      </c>
      <c r="D134" s="25" t="s">
        <v>40</v>
      </c>
      <c r="E134" s="25" t="s">
        <v>41</v>
      </c>
      <c r="F134" s="25" t="s">
        <v>42</v>
      </c>
      <c r="K134" s="17" t="s">
        <v>43</v>
      </c>
      <c r="L134" s="17" t="s">
        <v>44</v>
      </c>
    </row>
    <row r="135" spans="1:15" ht="16" x14ac:dyDescent="0.2">
      <c r="A135" s="30">
        <v>1</v>
      </c>
      <c r="B135" s="27">
        <v>2</v>
      </c>
      <c r="C135" s="31">
        <v>9.0399999999999991</v>
      </c>
      <c r="D135" s="31">
        <v>4.4800000000000004</v>
      </c>
      <c r="E135" s="32">
        <f t="shared" ref="E135:E160" si="4">IF(OR(C135="",D135=""),"-",C135*D135)</f>
        <v>40.499200000000002</v>
      </c>
      <c r="F135" s="28">
        <f t="shared" ref="F135:F160" si="5">IFERROR(C135/D135,"-")</f>
        <v>2.0178571428571423</v>
      </c>
      <c r="H135" s="24" t="s">
        <v>45</v>
      </c>
      <c r="I135" s="32">
        <f>IFERROR(INDEX(C135:C160,MATCH("open",B135:B160,0)),"-")</f>
        <v>22.04</v>
      </c>
      <c r="K135" s="18">
        <f>IF(ISNUMBER(I136),0,NA())</f>
        <v>0</v>
      </c>
      <c r="L135" s="19">
        <f>IF(ISNUMBER(I136),MIN(I136,$L$22),NA())</f>
        <v>4.76</v>
      </c>
    </row>
    <row r="136" spans="1:15" ht="48" x14ac:dyDescent="0.2">
      <c r="A136" s="30">
        <v>2</v>
      </c>
      <c r="B136" s="27">
        <v>3</v>
      </c>
      <c r="C136" s="31">
        <v>13.44</v>
      </c>
      <c r="D136" s="31">
        <v>4.05</v>
      </c>
      <c r="E136" s="32">
        <f t="shared" si="4"/>
        <v>54.431999999999995</v>
      </c>
      <c r="F136" s="28">
        <f t="shared" si="5"/>
        <v>3.3185185185185184</v>
      </c>
      <c r="H136" s="24" t="s">
        <v>46</v>
      </c>
      <c r="I136" s="33">
        <f>IFERROR(D135-C135*(D136-D135)/(C136-C135),"-")</f>
        <v>5.3634545454545473</v>
      </c>
      <c r="K136" s="18">
        <f>IF(ISNUMBER(C135),C135,NA())</f>
        <v>9.0399999999999991</v>
      </c>
      <c r="L136" s="19">
        <f>IF(ISNUMBER(D135),D135,NA())</f>
        <v>4.4800000000000004</v>
      </c>
    </row>
    <row r="137" spans="1:15" ht="16" x14ac:dyDescent="0.2">
      <c r="A137" s="30">
        <v>3</v>
      </c>
      <c r="B137" s="27">
        <v>4</v>
      </c>
      <c r="C137" s="31">
        <v>16.420000000000002</v>
      </c>
      <c r="D137" s="31">
        <v>3.85</v>
      </c>
      <c r="E137" s="32">
        <f t="shared" si="4"/>
        <v>63.217000000000006</v>
      </c>
      <c r="F137" s="28">
        <f t="shared" si="5"/>
        <v>4.2649350649350657</v>
      </c>
      <c r="H137" s="24" t="s">
        <v>47</v>
      </c>
      <c r="I137" s="33">
        <f>IFERROR(MAX(E135:E160),"-")</f>
        <v>63.581600000000002</v>
      </c>
      <c r="K137" t="s">
        <v>48</v>
      </c>
      <c r="L137" t="str">
        <f>IF(NOT(ISNUMBER(I136)),"",IF(I136&gt;$L$22,"Yes","No"))</f>
        <v>Yes</v>
      </c>
    </row>
    <row r="138" spans="1:15" ht="16" x14ac:dyDescent="0.2">
      <c r="A138" s="30">
        <v>4</v>
      </c>
      <c r="B138" s="27">
        <v>5</v>
      </c>
      <c r="C138" s="31">
        <v>17.86</v>
      </c>
      <c r="D138" s="31">
        <v>3.56</v>
      </c>
      <c r="E138" s="32">
        <f t="shared" si="4"/>
        <v>63.581600000000002</v>
      </c>
      <c r="F138" s="28">
        <f t="shared" si="5"/>
        <v>5.0168539325842696</v>
      </c>
      <c r="H138" s="24" t="s">
        <v>49</v>
      </c>
      <c r="I138" s="32">
        <f>IFERROR(INDEX(C135:C160,MATCH(I137,E135:E160,0)),"-")</f>
        <v>17.86</v>
      </c>
    </row>
    <row r="139" spans="1:15" ht="16" x14ac:dyDescent="0.2">
      <c r="A139" s="30">
        <v>5</v>
      </c>
      <c r="B139" s="27">
        <v>6</v>
      </c>
      <c r="C139" s="31">
        <v>18.66</v>
      </c>
      <c r="D139" s="31">
        <v>3.1</v>
      </c>
      <c r="E139" s="32">
        <f t="shared" si="4"/>
        <v>57.846000000000004</v>
      </c>
      <c r="F139" s="28">
        <f t="shared" si="5"/>
        <v>6.0193548387096776</v>
      </c>
      <c r="H139" s="24" t="s">
        <v>50</v>
      </c>
      <c r="I139" s="32">
        <f>IFERROR(INDEX(D135:D160,MATCH(I137,E135:E160,0)),"-")</f>
        <v>3.56</v>
      </c>
    </row>
    <row r="140" spans="1:15" ht="32" x14ac:dyDescent="0.2">
      <c r="A140" s="30">
        <v>6</v>
      </c>
      <c r="B140" s="27">
        <v>7</v>
      </c>
      <c r="C140" s="31">
        <v>19.18</v>
      </c>
      <c r="D140" s="31">
        <v>2.74</v>
      </c>
      <c r="E140" s="32">
        <f t="shared" si="4"/>
        <v>52.553200000000004</v>
      </c>
      <c r="F140" s="28">
        <f t="shared" si="5"/>
        <v>6.9999999999999991</v>
      </c>
      <c r="H140" s="24" t="s">
        <v>51</v>
      </c>
      <c r="I140" s="14">
        <f>IFERROR(I138/I139,"-")</f>
        <v>5.0168539325842696</v>
      </c>
    </row>
    <row r="141" spans="1:15" ht="16" x14ac:dyDescent="0.2">
      <c r="A141" s="30">
        <v>7</v>
      </c>
      <c r="B141" s="27">
        <v>8</v>
      </c>
      <c r="C141" s="31">
        <v>19.55</v>
      </c>
      <c r="D141" s="31">
        <v>2.44</v>
      </c>
      <c r="E141" s="32">
        <f t="shared" si="4"/>
        <v>47.701999999999998</v>
      </c>
      <c r="F141" s="28">
        <f t="shared" si="5"/>
        <v>8.0122950819672134</v>
      </c>
      <c r="H141" s="24" t="s">
        <v>52</v>
      </c>
      <c r="I141" s="14">
        <f>IFERROR(I137/(I135*I136),"-")</f>
        <v>0.53786744378243079</v>
      </c>
    </row>
    <row r="142" spans="1:15" ht="32" x14ac:dyDescent="0.2">
      <c r="A142" s="30">
        <v>8</v>
      </c>
      <c r="B142" s="27">
        <v>9</v>
      </c>
      <c r="C142" s="31">
        <v>19.829999999999998</v>
      </c>
      <c r="D142" s="31">
        <v>2.2000000000000002</v>
      </c>
      <c r="E142" s="32">
        <f t="shared" si="4"/>
        <v>43.625999999999998</v>
      </c>
      <c r="F142" s="28">
        <f t="shared" si="5"/>
        <v>9.0136363636363619</v>
      </c>
      <c r="H142" s="24" t="s">
        <v>53</v>
      </c>
      <c r="I142" s="15">
        <f>COUNT(D135:D160)</f>
        <v>26</v>
      </c>
    </row>
    <row r="143" spans="1:15" x14ac:dyDescent="0.2">
      <c r="A143" s="30">
        <v>9</v>
      </c>
      <c r="B143" s="27">
        <v>10</v>
      </c>
      <c r="C143" s="31">
        <v>20.05</v>
      </c>
      <c r="D143" s="31">
        <v>2.0099999999999998</v>
      </c>
      <c r="E143" s="32">
        <f t="shared" si="4"/>
        <v>40.3005</v>
      </c>
      <c r="F143" s="28">
        <f t="shared" si="5"/>
        <v>9.9751243781094541</v>
      </c>
    </row>
    <row r="144" spans="1:15" x14ac:dyDescent="0.2">
      <c r="A144" s="30">
        <v>10</v>
      </c>
      <c r="B144" s="27">
        <v>11</v>
      </c>
      <c r="C144" s="31">
        <v>20.239999999999998</v>
      </c>
      <c r="D144" s="31">
        <v>1.84</v>
      </c>
      <c r="E144" s="32">
        <f t="shared" si="4"/>
        <v>37.241599999999998</v>
      </c>
      <c r="F144" s="28">
        <f t="shared" si="5"/>
        <v>10.999999999999998</v>
      </c>
    </row>
    <row r="145" spans="1:6" x14ac:dyDescent="0.2">
      <c r="A145" s="30">
        <v>11</v>
      </c>
      <c r="B145" s="27">
        <v>12</v>
      </c>
      <c r="C145" s="31">
        <v>20.39</v>
      </c>
      <c r="D145" s="31">
        <v>1.7</v>
      </c>
      <c r="E145" s="32">
        <f t="shared" si="4"/>
        <v>34.662999999999997</v>
      </c>
      <c r="F145" s="28">
        <f t="shared" si="5"/>
        <v>11.994117647058824</v>
      </c>
    </row>
    <row r="146" spans="1:6" x14ac:dyDescent="0.2">
      <c r="A146" s="30">
        <v>12</v>
      </c>
      <c r="B146" s="27">
        <v>13</v>
      </c>
      <c r="C146" s="31">
        <v>20.53</v>
      </c>
      <c r="D146" s="31">
        <v>1.58</v>
      </c>
      <c r="E146" s="32">
        <f t="shared" si="4"/>
        <v>32.437400000000004</v>
      </c>
      <c r="F146" s="28">
        <f t="shared" si="5"/>
        <v>12.99367088607595</v>
      </c>
    </row>
    <row r="147" spans="1:6" x14ac:dyDescent="0.2">
      <c r="A147" s="30">
        <v>13</v>
      </c>
      <c r="B147" s="27">
        <v>14</v>
      </c>
      <c r="C147" s="31">
        <v>20.64</v>
      </c>
      <c r="D147" s="31">
        <v>1.48</v>
      </c>
      <c r="E147" s="32">
        <f t="shared" si="4"/>
        <v>30.5472</v>
      </c>
      <c r="F147" s="28">
        <f t="shared" si="5"/>
        <v>13.945945945945946</v>
      </c>
    </row>
    <row r="148" spans="1:6" x14ac:dyDescent="0.2">
      <c r="A148" s="30">
        <v>14</v>
      </c>
      <c r="B148" s="27">
        <v>16</v>
      </c>
      <c r="C148" s="31">
        <v>20.82</v>
      </c>
      <c r="D148" s="31">
        <v>1.3</v>
      </c>
      <c r="E148" s="32">
        <f t="shared" si="4"/>
        <v>27.066000000000003</v>
      </c>
      <c r="F148" s="28">
        <f t="shared" si="5"/>
        <v>16.015384615384615</v>
      </c>
    </row>
    <row r="149" spans="1:6" x14ac:dyDescent="0.2">
      <c r="A149" s="30">
        <v>15</v>
      </c>
      <c r="B149" s="27">
        <v>18</v>
      </c>
      <c r="C149" s="31">
        <v>20.96</v>
      </c>
      <c r="D149" s="31">
        <v>1.17</v>
      </c>
      <c r="E149" s="32">
        <f t="shared" si="4"/>
        <v>24.523199999999999</v>
      </c>
      <c r="F149" s="28">
        <f t="shared" si="5"/>
        <v>17.914529914529915</v>
      </c>
    </row>
    <row r="150" spans="1:6" x14ac:dyDescent="0.2">
      <c r="A150" s="30">
        <v>16</v>
      </c>
      <c r="B150" s="27">
        <v>20</v>
      </c>
      <c r="C150" s="31">
        <v>21.06</v>
      </c>
      <c r="D150" s="31">
        <v>1.05</v>
      </c>
      <c r="E150" s="32">
        <f t="shared" si="4"/>
        <v>22.113</v>
      </c>
      <c r="F150" s="28">
        <f t="shared" si="5"/>
        <v>20.057142857142853</v>
      </c>
    </row>
    <row r="151" spans="1:6" x14ac:dyDescent="0.2">
      <c r="A151" s="30">
        <v>17</v>
      </c>
      <c r="B151" s="27">
        <v>24</v>
      </c>
      <c r="C151" s="31">
        <v>21.23</v>
      </c>
      <c r="D151" s="31">
        <v>0.89</v>
      </c>
      <c r="E151" s="32">
        <f t="shared" si="4"/>
        <v>18.8947</v>
      </c>
      <c r="F151" s="28">
        <f t="shared" si="5"/>
        <v>23.853932584269664</v>
      </c>
    </row>
    <row r="152" spans="1:6" x14ac:dyDescent="0.2">
      <c r="A152" s="30">
        <v>18</v>
      </c>
      <c r="B152" s="27">
        <v>28</v>
      </c>
      <c r="C152" s="31">
        <v>21.33</v>
      </c>
      <c r="D152" s="31">
        <v>0.76</v>
      </c>
      <c r="E152" s="32">
        <f t="shared" si="4"/>
        <v>16.210799999999999</v>
      </c>
      <c r="F152" s="28">
        <f t="shared" si="5"/>
        <v>28.065789473684209</v>
      </c>
    </row>
    <row r="153" spans="1:6" x14ac:dyDescent="0.2">
      <c r="A153" s="30">
        <v>19</v>
      </c>
      <c r="B153" s="27">
        <v>33</v>
      </c>
      <c r="C153" s="31">
        <v>21.45</v>
      </c>
      <c r="D153" s="31">
        <v>0.65</v>
      </c>
      <c r="E153" s="32">
        <f t="shared" si="4"/>
        <v>13.942500000000001</v>
      </c>
      <c r="F153" s="28">
        <f t="shared" si="5"/>
        <v>33</v>
      </c>
    </row>
    <row r="154" spans="1:6" x14ac:dyDescent="0.2">
      <c r="A154" s="30">
        <v>20</v>
      </c>
      <c r="B154" s="27">
        <v>40</v>
      </c>
      <c r="C154" s="31">
        <v>21.56</v>
      </c>
      <c r="D154" s="31">
        <v>0.54</v>
      </c>
      <c r="E154" s="32">
        <f t="shared" si="4"/>
        <v>11.6424</v>
      </c>
      <c r="F154" s="28">
        <f t="shared" si="5"/>
        <v>39.925925925925924</v>
      </c>
    </row>
    <row r="155" spans="1:6" x14ac:dyDescent="0.2">
      <c r="A155" s="30">
        <v>21</v>
      </c>
      <c r="B155" s="27">
        <v>50</v>
      </c>
      <c r="C155" s="31">
        <v>21.65</v>
      </c>
      <c r="D155" s="31">
        <v>0.43</v>
      </c>
      <c r="E155" s="32">
        <f t="shared" si="4"/>
        <v>9.3094999999999999</v>
      </c>
      <c r="F155" s="28">
        <f t="shared" si="5"/>
        <v>50.348837209302324</v>
      </c>
    </row>
    <row r="156" spans="1:6" x14ac:dyDescent="0.2">
      <c r="A156" s="30">
        <v>22</v>
      </c>
      <c r="B156" s="27">
        <v>70</v>
      </c>
      <c r="C156" s="31">
        <v>21.76</v>
      </c>
      <c r="D156" s="31">
        <v>0.31</v>
      </c>
      <c r="E156" s="32">
        <f t="shared" si="4"/>
        <v>6.7456000000000005</v>
      </c>
      <c r="F156" s="28">
        <f t="shared" si="5"/>
        <v>70.193548387096783</v>
      </c>
    </row>
    <row r="157" spans="1:6" x14ac:dyDescent="0.2">
      <c r="A157" s="30">
        <v>23</v>
      </c>
      <c r="B157" s="27">
        <v>110</v>
      </c>
      <c r="C157" s="31">
        <v>21.86</v>
      </c>
      <c r="D157" s="31">
        <v>0.2</v>
      </c>
      <c r="E157" s="32">
        <f t="shared" si="4"/>
        <v>4.3719999999999999</v>
      </c>
      <c r="F157" s="28">
        <f t="shared" si="5"/>
        <v>109.3</v>
      </c>
    </row>
    <row r="158" spans="1:6" x14ac:dyDescent="0.2">
      <c r="A158" s="30">
        <v>24</v>
      </c>
      <c r="B158" s="27">
        <v>200</v>
      </c>
      <c r="C158" s="31">
        <v>21.94</v>
      </c>
      <c r="D158" s="31">
        <v>0.11</v>
      </c>
      <c r="E158" s="32">
        <f t="shared" si="4"/>
        <v>2.4134000000000002</v>
      </c>
      <c r="F158" s="28">
        <f t="shared" si="5"/>
        <v>199.45454545454547</v>
      </c>
    </row>
    <row r="159" spans="1:6" x14ac:dyDescent="0.2">
      <c r="A159" s="30">
        <v>25</v>
      </c>
      <c r="B159" s="27">
        <v>400</v>
      </c>
      <c r="C159" s="31">
        <v>21.99</v>
      </c>
      <c r="D159" s="31">
        <v>0.05</v>
      </c>
      <c r="E159" s="32">
        <f t="shared" si="4"/>
        <v>1.0994999999999999</v>
      </c>
      <c r="F159" s="28">
        <f t="shared" si="5"/>
        <v>439.79999999999995</v>
      </c>
    </row>
    <row r="160" spans="1:6" ht="16" x14ac:dyDescent="0.2">
      <c r="A160" s="30">
        <v>26</v>
      </c>
      <c r="B160" s="27" t="s">
        <v>54</v>
      </c>
      <c r="C160" s="31">
        <v>22.04</v>
      </c>
      <c r="D160" s="31">
        <v>0</v>
      </c>
      <c r="E160" s="32">
        <f t="shared" si="4"/>
        <v>0</v>
      </c>
      <c r="F160" s="28" t="str">
        <f t="shared" si="5"/>
        <v>-</v>
      </c>
    </row>
    <row r="162" spans="1:15" x14ac:dyDescent="0.2">
      <c r="A162" s="81" t="s">
        <v>55</v>
      </c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</row>
    <row r="166" spans="1:15" ht="21" x14ac:dyDescent="0.2">
      <c r="A166" s="89" t="s">
        <v>64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</row>
    <row r="168" spans="1:15" ht="120" x14ac:dyDescent="0.2">
      <c r="A168" s="20" t="s">
        <v>0</v>
      </c>
      <c r="B168" s="21">
        <v>46273</v>
      </c>
      <c r="D168" s="20" t="s">
        <v>1</v>
      </c>
      <c r="E168" s="22">
        <v>0.61805555555555558</v>
      </c>
      <c r="H168" s="23" t="s">
        <v>2</v>
      </c>
    </row>
    <row r="170" spans="1:15" x14ac:dyDescent="0.2">
      <c r="A170" s="76" t="s">
        <v>3</v>
      </c>
      <c r="B170" s="76"/>
    </row>
    <row r="171" spans="1:15" ht="48" x14ac:dyDescent="0.2">
      <c r="A171" s="24" t="s">
        <v>4</v>
      </c>
      <c r="B171" s="77" t="s">
        <v>65</v>
      </c>
      <c r="C171" s="77"/>
      <c r="D171" s="77"/>
    </row>
    <row r="172" spans="1:15" ht="48" x14ac:dyDescent="0.2">
      <c r="A172" s="24" t="s">
        <v>5</v>
      </c>
      <c r="B172" s="77" t="s">
        <v>66</v>
      </c>
      <c r="C172" s="77"/>
      <c r="D172" s="77"/>
    </row>
    <row r="173" spans="1:15" ht="48" x14ac:dyDescent="0.2">
      <c r="A173" s="24" t="s">
        <v>7</v>
      </c>
      <c r="B173" s="77" t="s">
        <v>8</v>
      </c>
      <c r="C173" s="77"/>
      <c r="D173" s="77"/>
    </row>
    <row r="174" spans="1:15" ht="48" x14ac:dyDescent="0.2">
      <c r="A174" s="24" t="s">
        <v>9</v>
      </c>
      <c r="B174" s="77"/>
      <c r="C174" s="77"/>
      <c r="D174" s="77"/>
    </row>
    <row r="176" spans="1:15" ht="14.75" customHeight="1" x14ac:dyDescent="0.2">
      <c r="A176" s="76" t="s">
        <v>11</v>
      </c>
      <c r="B176" s="76"/>
      <c r="C176" s="76"/>
      <c r="D176" s="76"/>
      <c r="I176" s="76" t="s">
        <v>12</v>
      </c>
      <c r="J176" s="76"/>
      <c r="K176" s="76"/>
      <c r="L176" s="76"/>
    </row>
    <row r="177" spans="1:15" ht="16" x14ac:dyDescent="0.2">
      <c r="A177" s="25" t="s">
        <v>13</v>
      </c>
      <c r="B177" s="25" t="s">
        <v>14</v>
      </c>
      <c r="C177" s="25" t="s">
        <v>15</v>
      </c>
      <c r="D177" s="25" t="s">
        <v>16</v>
      </c>
      <c r="F177" s="25" t="s">
        <v>17</v>
      </c>
      <c r="G177" s="25" t="s">
        <v>18</v>
      </c>
      <c r="I177" s="25" t="s">
        <v>13</v>
      </c>
      <c r="J177" s="25" t="s">
        <v>14</v>
      </c>
      <c r="K177" s="25" t="s">
        <v>15</v>
      </c>
      <c r="L177" s="25" t="s">
        <v>16</v>
      </c>
      <c r="N177" s="25" t="s">
        <v>17</v>
      </c>
      <c r="O177" s="25" t="s">
        <v>18</v>
      </c>
    </row>
    <row r="178" spans="1:15" ht="16" x14ac:dyDescent="0.2">
      <c r="A178" s="26" t="s">
        <v>19</v>
      </c>
      <c r="B178" s="27">
        <v>50.1</v>
      </c>
      <c r="C178" s="27">
        <v>51.7</v>
      </c>
      <c r="D178" s="27">
        <v>49.5</v>
      </c>
      <c r="F178" s="20" t="s">
        <v>20</v>
      </c>
      <c r="G178" s="28">
        <f>IFERROR(AVERAGE(B178:D180),"-")</f>
        <v>50.800000000000004</v>
      </c>
      <c r="I178" s="26" t="s">
        <v>19</v>
      </c>
      <c r="J178" s="27">
        <v>796.6</v>
      </c>
      <c r="K178" s="27">
        <v>828.4</v>
      </c>
      <c r="L178" s="27">
        <v>814.5</v>
      </c>
      <c r="N178" s="20" t="s">
        <v>20</v>
      </c>
      <c r="O178" s="28">
        <f>IFERROR(AVERAGE(J178:L180),"-")</f>
        <v>818.91111111111115</v>
      </c>
    </row>
    <row r="179" spans="1:15" ht="16" x14ac:dyDescent="0.2">
      <c r="A179" s="26" t="s">
        <v>21</v>
      </c>
      <c r="B179" s="29">
        <v>51.8</v>
      </c>
      <c r="C179" s="29">
        <v>51.3</v>
      </c>
      <c r="D179" s="29">
        <v>51.9</v>
      </c>
      <c r="F179" s="20" t="s">
        <v>22</v>
      </c>
      <c r="G179" s="28">
        <f>IFERROR(MIN(B178:D180),"-")</f>
        <v>49.3</v>
      </c>
      <c r="I179" s="26" t="s">
        <v>21</v>
      </c>
      <c r="J179" s="29">
        <v>827.7</v>
      </c>
      <c r="K179" s="29">
        <v>826.4</v>
      </c>
      <c r="L179" s="29">
        <v>821.1</v>
      </c>
      <c r="N179" s="20" t="s">
        <v>22</v>
      </c>
      <c r="O179" s="28">
        <f>IFERROR(MIN(J178:L180),"-")</f>
        <v>796.6</v>
      </c>
    </row>
    <row r="180" spans="1:15" ht="16" x14ac:dyDescent="0.2">
      <c r="A180" s="26" t="s">
        <v>23</v>
      </c>
      <c r="B180" s="29">
        <v>49.3</v>
      </c>
      <c r="C180" s="29">
        <v>51</v>
      </c>
      <c r="D180" s="29">
        <v>50.6</v>
      </c>
      <c r="F180" s="20" t="s">
        <v>24</v>
      </c>
      <c r="G180" s="28">
        <f>IFERROR(MAX(B178:D180),"-")</f>
        <v>51.9</v>
      </c>
      <c r="I180" s="26" t="s">
        <v>23</v>
      </c>
      <c r="J180" s="29">
        <v>831.1</v>
      </c>
      <c r="K180" s="29">
        <v>817.1</v>
      </c>
      <c r="L180" s="29">
        <v>807.3</v>
      </c>
      <c r="N180" s="20" t="s">
        <v>24</v>
      </c>
      <c r="O180" s="28">
        <f>IFERROR(MAX(J178:L180),"-")</f>
        <v>831.1</v>
      </c>
    </row>
    <row r="181" spans="1:15" x14ac:dyDescent="0.2">
      <c r="F181" s="20" t="s">
        <v>25</v>
      </c>
      <c r="G181" s="28">
        <f>IFERROR(G180-G179,"-")</f>
        <v>2.6000000000000014</v>
      </c>
      <c r="N181" s="20" t="s">
        <v>25</v>
      </c>
      <c r="O181" s="28">
        <f>IFERROR(O180-O179,"-")</f>
        <v>34.5</v>
      </c>
    </row>
    <row r="182" spans="1:15" x14ac:dyDescent="0.2">
      <c r="F182" s="20" t="s">
        <v>26</v>
      </c>
      <c r="G182" s="28">
        <f>IFERROR(STDEV(B178:D180),"-")</f>
        <v>0.98615414616580099</v>
      </c>
      <c r="N182" s="20" t="s">
        <v>26</v>
      </c>
      <c r="O182" s="28">
        <f>IFERROR(STDEV(J178:L180),"-")</f>
        <v>11.358195768303661</v>
      </c>
    </row>
    <row r="183" spans="1:15" x14ac:dyDescent="0.2">
      <c r="N183" s="20" t="s">
        <v>27</v>
      </c>
      <c r="O183" s="28">
        <f>IFERROR((1-((O180-O179)/(2*O178)))*100,"-")</f>
        <v>97.893544272882693</v>
      </c>
    </row>
    <row r="185" spans="1:15" x14ac:dyDescent="0.2">
      <c r="A185" s="76" t="s">
        <v>28</v>
      </c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</row>
    <row r="186" spans="1:15" x14ac:dyDescent="0.2">
      <c r="A186" s="20" t="s">
        <v>29</v>
      </c>
      <c r="B186" s="27"/>
      <c r="D186" s="20" t="s">
        <v>30</v>
      </c>
      <c r="E186" s="27"/>
      <c r="G186" s="20" t="s">
        <v>31</v>
      </c>
      <c r="H186" s="27"/>
      <c r="K186" s="20" t="s">
        <v>33</v>
      </c>
      <c r="L186" s="27"/>
    </row>
    <row r="188" spans="1:15" ht="14.75" customHeight="1" x14ac:dyDescent="0.2">
      <c r="A188" s="76" t="s">
        <v>35</v>
      </c>
      <c r="B188" s="76"/>
      <c r="C188" s="76"/>
      <c r="D188" s="76"/>
      <c r="E188" s="76"/>
      <c r="F188" s="76"/>
      <c r="H188" s="76" t="s">
        <v>36</v>
      </c>
      <c r="I188" s="76"/>
    </row>
    <row r="189" spans="1:15" ht="32" x14ac:dyDescent="0.2">
      <c r="A189" s="25" t="s">
        <v>37</v>
      </c>
      <c r="B189" s="25" t="s">
        <v>38</v>
      </c>
      <c r="C189" s="25" t="s">
        <v>39</v>
      </c>
      <c r="D189" s="25" t="s">
        <v>40</v>
      </c>
      <c r="E189" s="25" t="s">
        <v>41</v>
      </c>
      <c r="F189" s="25" t="s">
        <v>42</v>
      </c>
      <c r="K189" s="17" t="s">
        <v>43</v>
      </c>
      <c r="L189" s="17" t="s">
        <v>44</v>
      </c>
    </row>
    <row r="190" spans="1:15" ht="16" x14ac:dyDescent="0.2">
      <c r="A190" s="30">
        <v>1</v>
      </c>
      <c r="B190" s="27">
        <v>2</v>
      </c>
      <c r="C190" s="31">
        <v>8.3000000000000007</v>
      </c>
      <c r="D190" s="31">
        <v>4.0999999999999996</v>
      </c>
      <c r="E190" s="32">
        <f t="shared" ref="E190:E215" si="6">IF(OR(C190="",D190=""),"-",C190*D190)</f>
        <v>34.03</v>
      </c>
      <c r="F190" s="28">
        <f t="shared" ref="F190:F215" si="7">IFERROR(C190/D190,"-")</f>
        <v>2.0243902439024395</v>
      </c>
      <c r="H190" s="24" t="s">
        <v>45</v>
      </c>
      <c r="I190" s="32">
        <f>IFERROR(INDEX(C190:C215,MATCH("open",B190:B215,0)),"-")</f>
        <v>22.07</v>
      </c>
      <c r="K190" s="18">
        <f>IF(ISNUMBER(I191),0,NA())</f>
        <v>0</v>
      </c>
      <c r="L190" s="19">
        <f>IF(ISNUMBER(I191),MIN(I191,$L$22),NA())</f>
        <v>4.0404306220095689</v>
      </c>
    </row>
    <row r="191" spans="1:15" ht="48" x14ac:dyDescent="0.2">
      <c r="A191" s="30">
        <v>2</v>
      </c>
      <c r="B191" s="27">
        <v>3</v>
      </c>
      <c r="C191" s="31">
        <v>12.48</v>
      </c>
      <c r="D191" s="31">
        <v>4.13</v>
      </c>
      <c r="E191" s="32">
        <f t="shared" si="6"/>
        <v>51.542400000000001</v>
      </c>
      <c r="F191" s="28">
        <f t="shared" si="7"/>
        <v>3.0217917675544794</v>
      </c>
      <c r="H191" s="24" t="s">
        <v>46</v>
      </c>
      <c r="I191" s="33">
        <f>IFERROR(D190-C190*(D191-D190)/(C191-C190),"-")</f>
        <v>4.0404306220095689</v>
      </c>
      <c r="K191" s="18">
        <f>IF(ISNUMBER(C190),C190,NA())</f>
        <v>8.3000000000000007</v>
      </c>
      <c r="L191" s="19">
        <f>IF(ISNUMBER(D190),D190,NA())</f>
        <v>4.0999999999999996</v>
      </c>
    </row>
    <row r="192" spans="1:15" ht="16" x14ac:dyDescent="0.2">
      <c r="A192" s="30">
        <v>3</v>
      </c>
      <c r="B192" s="27">
        <v>4</v>
      </c>
      <c r="C192" s="31">
        <v>15.82</v>
      </c>
      <c r="D192" s="31">
        <v>3.94</v>
      </c>
      <c r="E192" s="32">
        <f t="shared" si="6"/>
        <v>62.330800000000004</v>
      </c>
      <c r="F192" s="28">
        <f t="shared" si="7"/>
        <v>4.0152284263959395</v>
      </c>
      <c r="H192" s="24" t="s">
        <v>47</v>
      </c>
      <c r="I192" s="33">
        <f>IFERROR(MAX(E190:E215),"-")</f>
        <v>62.330800000000004</v>
      </c>
      <c r="K192" t="s">
        <v>48</v>
      </c>
      <c r="L192" t="str">
        <f>IF(NOT(ISNUMBER(I191)),"",IF(I191&gt;$L$22,"Yes","No"))</f>
        <v>No</v>
      </c>
    </row>
    <row r="193" spans="1:9" ht="16" x14ac:dyDescent="0.2">
      <c r="A193" s="30">
        <v>4</v>
      </c>
      <c r="B193" s="27">
        <v>5</v>
      </c>
      <c r="C193" s="31">
        <v>17.649999999999999</v>
      </c>
      <c r="D193" s="31">
        <v>3.52</v>
      </c>
      <c r="E193" s="32">
        <f t="shared" si="6"/>
        <v>62.127999999999993</v>
      </c>
      <c r="F193" s="28">
        <f t="shared" si="7"/>
        <v>5.014204545454545</v>
      </c>
      <c r="H193" s="24" t="s">
        <v>49</v>
      </c>
      <c r="I193" s="32">
        <f>IFERROR(INDEX(C190:C215,MATCH(I192,E190:E215,0)),"-")</f>
        <v>15.82</v>
      </c>
    </row>
    <row r="194" spans="1:9" ht="16" x14ac:dyDescent="0.2">
      <c r="A194" s="30">
        <v>5</v>
      </c>
      <c r="B194" s="27">
        <v>6</v>
      </c>
      <c r="C194" s="31">
        <v>18.59</v>
      </c>
      <c r="D194" s="31">
        <v>3.09</v>
      </c>
      <c r="E194" s="32">
        <f t="shared" si="6"/>
        <v>57.443099999999994</v>
      </c>
      <c r="F194" s="28">
        <f t="shared" si="7"/>
        <v>6.0161812297734629</v>
      </c>
      <c r="H194" s="24" t="s">
        <v>50</v>
      </c>
      <c r="I194" s="32">
        <f>IFERROR(INDEX(D190:D215,MATCH(I192,E190:E215,0)),"-")</f>
        <v>3.94</v>
      </c>
    </row>
    <row r="195" spans="1:9" ht="32" x14ac:dyDescent="0.2">
      <c r="A195" s="30">
        <v>6</v>
      </c>
      <c r="B195" s="27">
        <v>7</v>
      </c>
      <c r="C195" s="31">
        <v>19.170000000000002</v>
      </c>
      <c r="D195" s="31">
        <v>2.74</v>
      </c>
      <c r="E195" s="32">
        <f t="shared" si="6"/>
        <v>52.525800000000011</v>
      </c>
      <c r="F195" s="28">
        <f t="shared" si="7"/>
        <v>6.9963503649635035</v>
      </c>
      <c r="H195" s="24" t="s">
        <v>51</v>
      </c>
      <c r="I195" s="14">
        <f>IFERROR(I193/I194,"-")</f>
        <v>4.0152284263959395</v>
      </c>
    </row>
    <row r="196" spans="1:9" ht="16" x14ac:dyDescent="0.2">
      <c r="A196" s="30">
        <v>7</v>
      </c>
      <c r="B196" s="27">
        <v>8</v>
      </c>
      <c r="C196" s="31">
        <v>19.579999999999998</v>
      </c>
      <c r="D196" s="31">
        <v>2.4500000000000002</v>
      </c>
      <c r="E196" s="32">
        <f t="shared" si="6"/>
        <v>47.970999999999997</v>
      </c>
      <c r="F196" s="28">
        <f t="shared" si="7"/>
        <v>7.9918367346938766</v>
      </c>
      <c r="H196" s="24" t="s">
        <v>52</v>
      </c>
      <c r="I196" s="14">
        <f>IFERROR(I192/(I190*I191),"-")</f>
        <v>0.69899281867159879</v>
      </c>
    </row>
    <row r="197" spans="1:9" ht="32" x14ac:dyDescent="0.2">
      <c r="A197" s="30">
        <v>8</v>
      </c>
      <c r="B197" s="27">
        <v>9</v>
      </c>
      <c r="C197" s="31">
        <v>19.57</v>
      </c>
      <c r="D197" s="31">
        <v>2.21</v>
      </c>
      <c r="E197" s="32">
        <f t="shared" si="6"/>
        <v>43.249699999999997</v>
      </c>
      <c r="F197" s="28">
        <f t="shared" si="7"/>
        <v>8.8552036199095028</v>
      </c>
      <c r="H197" s="24" t="s">
        <v>53</v>
      </c>
      <c r="I197" s="15">
        <f>COUNT(D190:D215)</f>
        <v>26</v>
      </c>
    </row>
    <row r="198" spans="1:9" x14ac:dyDescent="0.2">
      <c r="A198" s="30">
        <v>9</v>
      </c>
      <c r="B198" s="27">
        <v>10</v>
      </c>
      <c r="C198" s="31">
        <v>20.100000000000001</v>
      </c>
      <c r="D198" s="31">
        <v>2.0099999999999998</v>
      </c>
      <c r="E198" s="32">
        <f t="shared" si="6"/>
        <v>40.400999999999996</v>
      </c>
      <c r="F198" s="28">
        <f t="shared" si="7"/>
        <v>10.000000000000002</v>
      </c>
    </row>
    <row r="199" spans="1:9" x14ac:dyDescent="0.2">
      <c r="A199" s="30">
        <v>10</v>
      </c>
      <c r="B199" s="27">
        <v>11</v>
      </c>
      <c r="C199" s="31">
        <v>20.29</v>
      </c>
      <c r="D199" s="31">
        <v>1.85</v>
      </c>
      <c r="E199" s="32">
        <f t="shared" si="6"/>
        <v>37.536500000000004</v>
      </c>
      <c r="F199" s="28">
        <f t="shared" si="7"/>
        <v>10.967567567567567</v>
      </c>
    </row>
    <row r="200" spans="1:9" x14ac:dyDescent="0.2">
      <c r="A200" s="30">
        <v>11</v>
      </c>
      <c r="B200" s="27">
        <v>12</v>
      </c>
      <c r="C200" s="31">
        <v>20.440000000000001</v>
      </c>
      <c r="D200" s="31">
        <v>1.71</v>
      </c>
      <c r="E200" s="32">
        <f t="shared" si="6"/>
        <v>34.952400000000004</v>
      </c>
      <c r="F200" s="28">
        <f t="shared" si="7"/>
        <v>11.953216374269006</v>
      </c>
    </row>
    <row r="201" spans="1:9" x14ac:dyDescent="0.2">
      <c r="A201" s="30">
        <v>12</v>
      </c>
      <c r="B201" s="27">
        <v>13</v>
      </c>
      <c r="C201" s="31">
        <v>20.56</v>
      </c>
      <c r="D201" s="31">
        <v>1.58</v>
      </c>
      <c r="E201" s="32">
        <f t="shared" si="6"/>
        <v>32.4848</v>
      </c>
      <c r="F201" s="28">
        <f t="shared" si="7"/>
        <v>13.0126582278481</v>
      </c>
    </row>
    <row r="202" spans="1:9" x14ac:dyDescent="0.2">
      <c r="A202" s="30">
        <v>13</v>
      </c>
      <c r="B202" s="27">
        <v>14</v>
      </c>
      <c r="C202" s="31">
        <v>20.66</v>
      </c>
      <c r="D202" s="31">
        <v>1.48</v>
      </c>
      <c r="E202" s="32">
        <f t="shared" si="6"/>
        <v>30.576799999999999</v>
      </c>
      <c r="F202" s="28">
        <f t="shared" si="7"/>
        <v>13.95945945945946</v>
      </c>
    </row>
    <row r="203" spans="1:9" x14ac:dyDescent="0.2">
      <c r="A203" s="30">
        <v>14</v>
      </c>
      <c r="B203" s="27">
        <v>16</v>
      </c>
      <c r="C203" s="31">
        <v>20.83</v>
      </c>
      <c r="D203" s="31">
        <v>1.31</v>
      </c>
      <c r="E203" s="32">
        <f t="shared" si="6"/>
        <v>27.287299999999998</v>
      </c>
      <c r="F203" s="28">
        <f t="shared" si="7"/>
        <v>15.900763358778624</v>
      </c>
    </row>
    <row r="204" spans="1:9" x14ac:dyDescent="0.2">
      <c r="A204" s="30">
        <v>15</v>
      </c>
      <c r="B204" s="27">
        <v>18</v>
      </c>
      <c r="C204" s="31">
        <v>20.97</v>
      </c>
      <c r="D204" s="31">
        <v>1.17</v>
      </c>
      <c r="E204" s="32">
        <f t="shared" si="6"/>
        <v>24.534899999999997</v>
      </c>
      <c r="F204" s="28">
        <f t="shared" si="7"/>
        <v>17.923076923076923</v>
      </c>
    </row>
    <row r="205" spans="1:9" x14ac:dyDescent="0.2">
      <c r="A205" s="30">
        <v>16</v>
      </c>
      <c r="B205" s="27">
        <v>20</v>
      </c>
      <c r="C205" s="31">
        <v>21.08</v>
      </c>
      <c r="D205" s="31">
        <v>1.06</v>
      </c>
      <c r="E205" s="32">
        <f t="shared" si="6"/>
        <v>22.344799999999999</v>
      </c>
      <c r="F205" s="28">
        <f t="shared" si="7"/>
        <v>19.886792452830186</v>
      </c>
    </row>
    <row r="206" spans="1:9" x14ac:dyDescent="0.2">
      <c r="A206" s="30">
        <v>17</v>
      </c>
      <c r="B206" s="27">
        <v>24</v>
      </c>
      <c r="C206" s="31">
        <v>21.24</v>
      </c>
      <c r="D206" s="31">
        <v>0.89</v>
      </c>
      <c r="E206" s="32">
        <f t="shared" si="6"/>
        <v>18.903599999999997</v>
      </c>
      <c r="F206" s="28">
        <f t="shared" si="7"/>
        <v>23.86516853932584</v>
      </c>
    </row>
    <row r="207" spans="1:9" x14ac:dyDescent="0.2">
      <c r="A207" s="30">
        <v>18</v>
      </c>
      <c r="B207" s="27">
        <v>28</v>
      </c>
      <c r="C207" s="31">
        <v>21.37</v>
      </c>
      <c r="D207" s="31">
        <v>0.76</v>
      </c>
      <c r="E207" s="32">
        <f t="shared" si="6"/>
        <v>16.241199999999999</v>
      </c>
      <c r="F207" s="28">
        <f t="shared" si="7"/>
        <v>28.118421052631579</v>
      </c>
    </row>
    <row r="208" spans="1:9" x14ac:dyDescent="0.2">
      <c r="A208" s="30">
        <v>19</v>
      </c>
      <c r="B208" s="27">
        <v>33</v>
      </c>
      <c r="C208" s="31">
        <v>21.48</v>
      </c>
      <c r="D208" s="31">
        <v>0.65</v>
      </c>
      <c r="E208" s="32">
        <f t="shared" si="6"/>
        <v>13.962000000000002</v>
      </c>
      <c r="F208" s="28">
        <f t="shared" si="7"/>
        <v>33.046153846153842</v>
      </c>
    </row>
    <row r="209" spans="1:15" x14ac:dyDescent="0.2">
      <c r="A209" s="30">
        <v>20</v>
      </c>
      <c r="B209" s="27">
        <v>40</v>
      </c>
      <c r="C209" s="31">
        <v>21.59</v>
      </c>
      <c r="D209" s="31">
        <v>0.54</v>
      </c>
      <c r="E209" s="32">
        <f t="shared" si="6"/>
        <v>11.6586</v>
      </c>
      <c r="F209" s="28">
        <f t="shared" si="7"/>
        <v>39.981481481481481</v>
      </c>
    </row>
    <row r="210" spans="1:15" x14ac:dyDescent="0.2">
      <c r="A210" s="30">
        <v>21</v>
      </c>
      <c r="B210" s="27">
        <v>50</v>
      </c>
      <c r="C210" s="31">
        <v>21.69</v>
      </c>
      <c r="D210" s="31">
        <v>0.43</v>
      </c>
      <c r="E210" s="32">
        <f t="shared" si="6"/>
        <v>9.3267000000000007</v>
      </c>
      <c r="F210" s="28">
        <f t="shared" si="7"/>
        <v>50.441860465116285</v>
      </c>
    </row>
    <row r="211" spans="1:15" x14ac:dyDescent="0.2">
      <c r="A211" s="30">
        <v>22</v>
      </c>
      <c r="B211" s="27">
        <v>70</v>
      </c>
      <c r="C211" s="31">
        <v>21.79</v>
      </c>
      <c r="D211" s="31">
        <v>0.31</v>
      </c>
      <c r="E211" s="32">
        <f t="shared" si="6"/>
        <v>6.7549000000000001</v>
      </c>
      <c r="F211" s="28">
        <f t="shared" si="7"/>
        <v>70.290322580645153</v>
      </c>
    </row>
    <row r="212" spans="1:15" x14ac:dyDescent="0.2">
      <c r="A212" s="30">
        <v>23</v>
      </c>
      <c r="B212" s="27">
        <v>110</v>
      </c>
      <c r="C212" s="31">
        <v>21.9</v>
      </c>
      <c r="D212" s="31">
        <v>0.2</v>
      </c>
      <c r="E212" s="32">
        <f t="shared" si="6"/>
        <v>4.38</v>
      </c>
      <c r="F212" s="28">
        <f t="shared" si="7"/>
        <v>109.49999999999999</v>
      </c>
    </row>
    <row r="213" spans="1:15" x14ac:dyDescent="0.2">
      <c r="A213" s="30">
        <v>24</v>
      </c>
      <c r="B213" s="27">
        <v>200</v>
      </c>
      <c r="C213" s="31">
        <v>21.97</v>
      </c>
      <c r="D213" s="31">
        <v>0.11</v>
      </c>
      <c r="E213" s="32">
        <f t="shared" si="6"/>
        <v>2.4167000000000001</v>
      </c>
      <c r="F213" s="28">
        <f t="shared" si="7"/>
        <v>199.72727272727272</v>
      </c>
    </row>
    <row r="214" spans="1:15" x14ac:dyDescent="0.2">
      <c r="A214" s="30">
        <v>25</v>
      </c>
      <c r="B214" s="27">
        <v>400</v>
      </c>
      <c r="C214" s="31">
        <v>22.02</v>
      </c>
      <c r="D214" s="31">
        <v>0.05</v>
      </c>
      <c r="E214" s="32">
        <f t="shared" si="6"/>
        <v>1.101</v>
      </c>
      <c r="F214" s="28">
        <f t="shared" si="7"/>
        <v>440.4</v>
      </c>
    </row>
    <row r="215" spans="1:15" ht="16" x14ac:dyDescent="0.2">
      <c r="A215" s="30">
        <v>26</v>
      </c>
      <c r="B215" s="27" t="s">
        <v>54</v>
      </c>
      <c r="C215" s="31">
        <v>22.07</v>
      </c>
      <c r="D215" s="31">
        <v>0</v>
      </c>
      <c r="E215" s="32">
        <f t="shared" si="6"/>
        <v>0</v>
      </c>
      <c r="F215" s="28" t="str">
        <f t="shared" si="7"/>
        <v>-</v>
      </c>
    </row>
    <row r="217" spans="1:15" x14ac:dyDescent="0.2">
      <c r="A217" s="81" t="s">
        <v>55</v>
      </c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</row>
    <row r="221" spans="1:15" ht="21" x14ac:dyDescent="0.2">
      <c r="A221" s="89" t="s">
        <v>64</v>
      </c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</row>
    <row r="223" spans="1:15" ht="120" x14ac:dyDescent="0.2">
      <c r="A223" s="20" t="s">
        <v>0</v>
      </c>
      <c r="B223" s="21">
        <v>46273</v>
      </c>
      <c r="D223" s="20" t="s">
        <v>1</v>
      </c>
      <c r="E223" s="22">
        <v>0.63541666666666696</v>
      </c>
      <c r="H223" s="23" t="s">
        <v>2</v>
      </c>
    </row>
    <row r="225" spans="1:15" x14ac:dyDescent="0.2">
      <c r="A225" s="76" t="s">
        <v>3</v>
      </c>
      <c r="B225" s="76"/>
    </row>
    <row r="226" spans="1:15" ht="48" x14ac:dyDescent="0.2">
      <c r="A226" s="24" t="s">
        <v>4</v>
      </c>
      <c r="B226" s="77" t="s">
        <v>65</v>
      </c>
      <c r="C226" s="77"/>
      <c r="D226" s="77"/>
    </row>
    <row r="227" spans="1:15" ht="48" x14ac:dyDescent="0.2">
      <c r="A227" s="24" t="s">
        <v>5</v>
      </c>
      <c r="B227" s="77" t="s">
        <v>66</v>
      </c>
      <c r="C227" s="77"/>
      <c r="D227" s="77"/>
    </row>
    <row r="228" spans="1:15" ht="48" x14ac:dyDescent="0.2">
      <c r="A228" s="24" t="s">
        <v>7</v>
      </c>
      <c r="B228" s="77" t="s">
        <v>8</v>
      </c>
      <c r="C228" s="77"/>
      <c r="D228" s="77"/>
    </row>
    <row r="229" spans="1:15" ht="48" x14ac:dyDescent="0.2">
      <c r="A229" s="24" t="s">
        <v>9</v>
      </c>
      <c r="B229" s="77"/>
      <c r="C229" s="77"/>
      <c r="D229" s="77"/>
    </row>
    <row r="231" spans="1:15" ht="14.75" customHeight="1" x14ac:dyDescent="0.2">
      <c r="A231" s="76" t="s">
        <v>11</v>
      </c>
      <c r="B231" s="76"/>
      <c r="C231" s="76"/>
      <c r="D231" s="76"/>
      <c r="I231" s="76" t="s">
        <v>12</v>
      </c>
      <c r="J231" s="76"/>
      <c r="K231" s="76"/>
      <c r="L231" s="76"/>
    </row>
    <row r="232" spans="1:15" ht="16" x14ac:dyDescent="0.2">
      <c r="A232" s="25" t="s">
        <v>13</v>
      </c>
      <c r="B232" s="25" t="s">
        <v>14</v>
      </c>
      <c r="C232" s="25" t="s">
        <v>15</v>
      </c>
      <c r="D232" s="25" t="s">
        <v>16</v>
      </c>
      <c r="F232" s="25" t="s">
        <v>17</v>
      </c>
      <c r="G232" s="25" t="s">
        <v>18</v>
      </c>
      <c r="I232" s="25" t="s">
        <v>13</v>
      </c>
      <c r="J232" s="25" t="s">
        <v>14</v>
      </c>
      <c r="K232" s="25" t="s">
        <v>15</v>
      </c>
      <c r="L232" s="25" t="s">
        <v>16</v>
      </c>
      <c r="N232" s="25" t="s">
        <v>17</v>
      </c>
      <c r="O232" s="25" t="s">
        <v>18</v>
      </c>
    </row>
    <row r="233" spans="1:15" ht="16" x14ac:dyDescent="0.2">
      <c r="A233" s="26" t="s">
        <v>19</v>
      </c>
      <c r="B233" s="27">
        <v>44.5</v>
      </c>
      <c r="C233" s="27">
        <v>45.7</v>
      </c>
      <c r="D233" s="27">
        <v>46.5</v>
      </c>
      <c r="F233" s="20" t="s">
        <v>20</v>
      </c>
      <c r="G233" s="28">
        <f>IFERROR(AVERAGE(B233:D235),"-")</f>
        <v>45.522222222222219</v>
      </c>
      <c r="I233" s="26" t="s">
        <v>19</v>
      </c>
      <c r="J233" s="27">
        <v>713.6</v>
      </c>
      <c r="K233" s="27">
        <v>802.6</v>
      </c>
      <c r="L233" s="27">
        <v>786.3</v>
      </c>
      <c r="N233" s="20" t="s">
        <v>20</v>
      </c>
      <c r="O233" s="28">
        <f>IFERROR(AVERAGE(J233:L235),"-")</f>
        <v>778.61111111111109</v>
      </c>
    </row>
    <row r="234" spans="1:15" ht="16" x14ac:dyDescent="0.2">
      <c r="A234" s="26" t="s">
        <v>21</v>
      </c>
      <c r="B234" s="29">
        <v>45.8</v>
      </c>
      <c r="C234" s="29">
        <v>45.8</v>
      </c>
      <c r="D234" s="29">
        <v>47.4</v>
      </c>
      <c r="F234" s="20" t="s">
        <v>22</v>
      </c>
      <c r="G234" s="28">
        <f>IFERROR(MIN(B233:D235),"-")</f>
        <v>44.4</v>
      </c>
      <c r="I234" s="26" t="s">
        <v>21</v>
      </c>
      <c r="J234" s="29">
        <v>796</v>
      </c>
      <c r="K234" s="29">
        <v>781</v>
      </c>
      <c r="L234" s="29">
        <v>791.4</v>
      </c>
      <c r="N234" s="20" t="s">
        <v>22</v>
      </c>
      <c r="O234" s="28">
        <f>IFERROR(MIN(J233:L235),"-")</f>
        <v>713.6</v>
      </c>
    </row>
    <row r="235" spans="1:15" ht="16" x14ac:dyDescent="0.2">
      <c r="A235" s="26" t="s">
        <v>23</v>
      </c>
      <c r="B235" s="29">
        <v>44.4</v>
      </c>
      <c r="C235" s="29">
        <v>44.5</v>
      </c>
      <c r="D235" s="29">
        <v>45.1</v>
      </c>
      <c r="F235" s="20" t="s">
        <v>24</v>
      </c>
      <c r="G235" s="28">
        <f>IFERROR(MAX(B233:D235),"-")</f>
        <v>47.4</v>
      </c>
      <c r="I235" s="26" t="s">
        <v>23</v>
      </c>
      <c r="J235" s="29">
        <v>761.6</v>
      </c>
      <c r="K235" s="29">
        <v>806.1</v>
      </c>
      <c r="L235" s="29">
        <v>768.9</v>
      </c>
      <c r="N235" s="20" t="s">
        <v>24</v>
      </c>
      <c r="O235" s="28">
        <f>IFERROR(MAX(J233:L235),"-")</f>
        <v>806.1</v>
      </c>
    </row>
    <row r="236" spans="1:15" x14ac:dyDescent="0.2">
      <c r="F236" s="20" t="s">
        <v>25</v>
      </c>
      <c r="G236" s="28">
        <f>IFERROR(G235-G234,"-")</f>
        <v>3</v>
      </c>
      <c r="N236" s="20" t="s">
        <v>25</v>
      </c>
      <c r="O236" s="28">
        <f>IFERROR(O235-O234,"-")</f>
        <v>92.5</v>
      </c>
    </row>
    <row r="237" spans="1:15" x14ac:dyDescent="0.2">
      <c r="F237" s="20" t="s">
        <v>26</v>
      </c>
      <c r="G237" s="28">
        <f>IFERROR(STDEV(B233:D235),"-")</f>
        <v>1.0121484300459314</v>
      </c>
      <c r="N237" s="20" t="s">
        <v>26</v>
      </c>
      <c r="O237" s="28">
        <f>IFERROR(STDEV(J233:L235),"-")</f>
        <v>28.442900891278846</v>
      </c>
    </row>
    <row r="238" spans="1:15" x14ac:dyDescent="0.2">
      <c r="N238" s="20" t="s">
        <v>27</v>
      </c>
      <c r="O238" s="28">
        <f>IFERROR((1-((O235-O234)/(2*O233)))*100,"-")</f>
        <v>94.059935783089543</v>
      </c>
    </row>
    <row r="240" spans="1:15" x14ac:dyDescent="0.2">
      <c r="A240" s="76" t="s">
        <v>28</v>
      </c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</row>
    <row r="241" spans="1:12" x14ac:dyDescent="0.2">
      <c r="A241" s="20" t="s">
        <v>29</v>
      </c>
      <c r="B241" s="27"/>
      <c r="D241" s="20" t="s">
        <v>30</v>
      </c>
      <c r="E241" s="27"/>
      <c r="G241" s="20" t="s">
        <v>31</v>
      </c>
      <c r="H241" s="27"/>
      <c r="K241" s="20" t="s">
        <v>33</v>
      </c>
      <c r="L241" s="27"/>
    </row>
    <row r="243" spans="1:12" ht="14.75" customHeight="1" x14ac:dyDescent="0.2">
      <c r="A243" s="76" t="s">
        <v>35</v>
      </c>
      <c r="B243" s="76"/>
      <c r="C243" s="76"/>
      <c r="D243" s="76"/>
      <c r="E243" s="76"/>
      <c r="F243" s="76"/>
      <c r="H243" s="76" t="s">
        <v>36</v>
      </c>
      <c r="I243" s="76"/>
    </row>
    <row r="244" spans="1:12" ht="32" x14ac:dyDescent="0.2">
      <c r="A244" s="25" t="s">
        <v>37</v>
      </c>
      <c r="B244" s="25" t="s">
        <v>38</v>
      </c>
      <c r="C244" s="25" t="s">
        <v>39</v>
      </c>
      <c r="D244" s="25" t="s">
        <v>40</v>
      </c>
      <c r="E244" s="25" t="s">
        <v>41</v>
      </c>
      <c r="F244" s="25" t="s">
        <v>42</v>
      </c>
      <c r="K244" s="17" t="s">
        <v>43</v>
      </c>
      <c r="L244" s="17" t="s">
        <v>44</v>
      </c>
    </row>
    <row r="245" spans="1:12" ht="16" x14ac:dyDescent="0.2">
      <c r="A245" s="30">
        <v>1</v>
      </c>
      <c r="B245" s="27">
        <v>2</v>
      </c>
      <c r="C245" s="31">
        <v>8.3000000000000007</v>
      </c>
      <c r="D245" s="31">
        <v>4.1100000000000003</v>
      </c>
      <c r="E245" s="32">
        <f>IF(OR(C245="",D245=""),"-",C245*D245)</f>
        <v>34.113000000000007</v>
      </c>
      <c r="F245" s="28">
        <f>IFERROR(C245/D245,"-")</f>
        <v>2.0194647201946472</v>
      </c>
      <c r="H245" s="24" t="s">
        <v>45</v>
      </c>
      <c r="I245" s="32">
        <f>IFERROR(INDEX(C245:C279,MATCH("open",B245:B279,0)),"-")</f>
        <v>22.1</v>
      </c>
      <c r="K245" s="18">
        <f>IF(ISNUMBER(I246),0,NA())</f>
        <v>0</v>
      </c>
      <c r="L245" s="19">
        <f>IF(ISNUMBER(I246),MIN(I246,$L$22),NA())</f>
        <v>4.0897560975609766</v>
      </c>
    </row>
    <row r="246" spans="1:12" ht="48" x14ac:dyDescent="0.2">
      <c r="A246" s="30">
        <v>2</v>
      </c>
      <c r="B246" s="27">
        <v>3</v>
      </c>
      <c r="C246" s="31">
        <v>12.4</v>
      </c>
      <c r="D246" s="31">
        <v>4.12</v>
      </c>
      <c r="E246" s="32">
        <f t="shared" ref="E246:E279" si="8">IF(OR(C246="",D246=""),"-",C246*D246)</f>
        <v>51.088000000000001</v>
      </c>
      <c r="F246" s="28">
        <f t="shared" ref="F246:F279" si="9">IFERROR(C246/D246,"-")</f>
        <v>3.0097087378640777</v>
      </c>
      <c r="H246" s="24" t="s">
        <v>46</v>
      </c>
      <c r="I246" s="33">
        <f>IFERROR(D245-C245*(D246-D245)/(C246-C245),"-")</f>
        <v>4.0897560975609766</v>
      </c>
      <c r="K246" s="18">
        <f>IF(ISNUMBER(C245),C245,NA())</f>
        <v>8.3000000000000007</v>
      </c>
      <c r="L246" s="19">
        <f>IF(ISNUMBER(D245),D245,NA())</f>
        <v>4.1100000000000003</v>
      </c>
    </row>
    <row r="247" spans="1:12" ht="16" x14ac:dyDescent="0.2">
      <c r="A247" s="30">
        <v>3</v>
      </c>
      <c r="B247" s="27">
        <v>3.3</v>
      </c>
      <c r="C247" s="31">
        <v>13.67</v>
      </c>
      <c r="D247" s="31">
        <v>4.1100000000000003</v>
      </c>
      <c r="E247" s="32">
        <f t="shared" si="8"/>
        <v>56.183700000000002</v>
      </c>
      <c r="F247" s="28">
        <f t="shared" si="9"/>
        <v>3.3260340632603405</v>
      </c>
      <c r="H247" s="24" t="s">
        <v>47</v>
      </c>
      <c r="I247" s="33">
        <f>IFERROR(MAX(E245:E279),"-")</f>
        <v>63.807199999999995</v>
      </c>
      <c r="K247" t="s">
        <v>48</v>
      </c>
      <c r="L247" t="str">
        <f>IF(NOT(ISNUMBER(I246)),"",IF(I246&gt;$L$22,"Yes","No"))</f>
        <v>No</v>
      </c>
    </row>
    <row r="248" spans="1:12" ht="16" x14ac:dyDescent="0.2">
      <c r="A248" s="30">
        <v>4</v>
      </c>
      <c r="B248" s="27">
        <v>3.6</v>
      </c>
      <c r="C248" s="31">
        <v>14.7</v>
      </c>
      <c r="D248" s="31">
        <v>4.0599999999999996</v>
      </c>
      <c r="E248" s="32">
        <f t="shared" si="8"/>
        <v>59.681999999999988</v>
      </c>
      <c r="F248" s="28">
        <f t="shared" si="9"/>
        <v>3.6206896551724141</v>
      </c>
      <c r="H248" s="24" t="s">
        <v>49</v>
      </c>
      <c r="I248" s="32">
        <f>IFERROR(INDEX(C245:C279,MATCH(I247,E245:E279,0)),"-")</f>
        <v>16.97</v>
      </c>
    </row>
    <row r="249" spans="1:12" ht="16" x14ac:dyDescent="0.2">
      <c r="A249" s="30">
        <v>5</v>
      </c>
      <c r="B249" s="27">
        <v>3.9</v>
      </c>
      <c r="C249" s="31">
        <v>15.63</v>
      </c>
      <c r="D249" s="31">
        <v>3.99</v>
      </c>
      <c r="E249" s="32">
        <f t="shared" si="8"/>
        <v>62.363700000000009</v>
      </c>
      <c r="F249" s="28">
        <f t="shared" si="9"/>
        <v>3.9172932330827068</v>
      </c>
      <c r="H249" s="24" t="s">
        <v>50</v>
      </c>
      <c r="I249" s="32">
        <f>IFERROR(INDEX(D245:D279,MATCH(I247,E245:E279,0)),"-")</f>
        <v>3.76</v>
      </c>
    </row>
    <row r="250" spans="1:12" ht="32" x14ac:dyDescent="0.2">
      <c r="A250" s="30">
        <v>6</v>
      </c>
      <c r="B250" s="27">
        <v>4</v>
      </c>
      <c r="C250" s="31">
        <v>15.89</v>
      </c>
      <c r="D250" s="31">
        <v>3.96</v>
      </c>
      <c r="E250" s="32">
        <f t="shared" si="8"/>
        <v>62.924399999999999</v>
      </c>
      <c r="F250" s="28">
        <f t="shared" si="9"/>
        <v>4.012626262626263</v>
      </c>
      <c r="H250" s="24" t="s">
        <v>51</v>
      </c>
      <c r="I250" s="14">
        <f>IFERROR(I248/I249,"-")</f>
        <v>4.5132978723404253</v>
      </c>
    </row>
    <row r="251" spans="1:12" ht="16" x14ac:dyDescent="0.2">
      <c r="A251" s="30">
        <v>7</v>
      </c>
      <c r="B251" s="27">
        <v>4.2</v>
      </c>
      <c r="C251" s="31">
        <v>16.38</v>
      </c>
      <c r="D251" s="31">
        <v>3.89</v>
      </c>
      <c r="E251" s="32">
        <f t="shared" si="8"/>
        <v>63.718199999999996</v>
      </c>
      <c r="F251" s="28">
        <f t="shared" si="9"/>
        <v>4.2107969151670943</v>
      </c>
      <c r="H251" s="24" t="s">
        <v>52</v>
      </c>
      <c r="I251" s="14">
        <f>IFERROR(I247/(I245*I246),"-")</f>
        <v>0.70595985458187949</v>
      </c>
    </row>
    <row r="252" spans="1:12" ht="32" x14ac:dyDescent="0.2">
      <c r="A252" s="30">
        <v>8</v>
      </c>
      <c r="B252" s="27">
        <v>4.5</v>
      </c>
      <c r="C252" s="31">
        <v>16.97</v>
      </c>
      <c r="D252" s="31">
        <v>3.76</v>
      </c>
      <c r="E252" s="32">
        <f t="shared" si="8"/>
        <v>63.807199999999995</v>
      </c>
      <c r="F252" s="28">
        <f t="shared" si="9"/>
        <v>4.5132978723404253</v>
      </c>
      <c r="H252" s="24" t="s">
        <v>53</v>
      </c>
      <c r="I252" s="15">
        <f>COUNT(D245:D279)</f>
        <v>35</v>
      </c>
    </row>
    <row r="253" spans="1:12" x14ac:dyDescent="0.2">
      <c r="A253" s="30">
        <v>9</v>
      </c>
      <c r="B253" s="27">
        <v>4.8</v>
      </c>
      <c r="C253" s="31">
        <v>17.46</v>
      </c>
      <c r="D253" s="31">
        <v>3.63</v>
      </c>
      <c r="E253" s="32">
        <f t="shared" si="8"/>
        <v>63.379800000000003</v>
      </c>
      <c r="F253" s="28">
        <f t="shared" si="9"/>
        <v>4.8099173553719012</v>
      </c>
    </row>
    <row r="254" spans="1:12" x14ac:dyDescent="0.2">
      <c r="A254" s="30">
        <v>10</v>
      </c>
      <c r="B254" s="27">
        <v>5</v>
      </c>
      <c r="C254" s="31">
        <v>17.73</v>
      </c>
      <c r="D254" s="31">
        <v>3.54</v>
      </c>
      <c r="E254" s="32">
        <f t="shared" si="8"/>
        <v>62.764200000000002</v>
      </c>
      <c r="F254" s="28">
        <f t="shared" si="9"/>
        <v>5.0084745762711869</v>
      </c>
    </row>
    <row r="255" spans="1:12" x14ac:dyDescent="0.2">
      <c r="A255" s="30">
        <v>11</v>
      </c>
      <c r="B255" s="27">
        <v>5.0999999999999996</v>
      </c>
      <c r="C255" s="31">
        <v>17.850000000000001</v>
      </c>
      <c r="D255" s="31">
        <v>3.49</v>
      </c>
      <c r="E255" s="32">
        <f t="shared" si="8"/>
        <v>62.296500000000009</v>
      </c>
      <c r="F255" s="28">
        <f t="shared" si="9"/>
        <v>5.1146131805157591</v>
      </c>
    </row>
    <row r="256" spans="1:12" x14ac:dyDescent="0.2">
      <c r="A256" s="30">
        <v>12</v>
      </c>
      <c r="B256" s="27">
        <v>5.4</v>
      </c>
      <c r="C256" s="31">
        <v>18.18</v>
      </c>
      <c r="D256" s="31">
        <v>3.36</v>
      </c>
      <c r="E256" s="32">
        <f t="shared" si="8"/>
        <v>61.084799999999994</v>
      </c>
      <c r="F256" s="28">
        <f t="shared" si="9"/>
        <v>5.4107142857142856</v>
      </c>
    </row>
    <row r="257" spans="1:6" x14ac:dyDescent="0.2">
      <c r="A257" s="30">
        <v>13</v>
      </c>
      <c r="B257" s="27">
        <v>5.7</v>
      </c>
      <c r="C257" s="31">
        <v>18.46</v>
      </c>
      <c r="D257" s="31">
        <v>3.24</v>
      </c>
      <c r="E257" s="32">
        <f t="shared" si="8"/>
        <v>59.810400000000008</v>
      </c>
      <c r="F257" s="28">
        <f t="shared" si="9"/>
        <v>5.6975308641975309</v>
      </c>
    </row>
    <row r="258" spans="1:6" x14ac:dyDescent="0.2">
      <c r="A258" s="30">
        <v>14</v>
      </c>
      <c r="B258" s="27">
        <v>6</v>
      </c>
      <c r="C258" s="31">
        <v>18.7</v>
      </c>
      <c r="D258" s="31">
        <v>3.11</v>
      </c>
      <c r="E258" s="32">
        <f t="shared" si="8"/>
        <v>58.156999999999996</v>
      </c>
      <c r="F258" s="28">
        <f t="shared" si="9"/>
        <v>6.012861736334405</v>
      </c>
    </row>
    <row r="259" spans="1:6" x14ac:dyDescent="0.2">
      <c r="A259" s="30">
        <v>15</v>
      </c>
      <c r="B259" s="27">
        <v>7</v>
      </c>
      <c r="C259" s="31">
        <v>19.28</v>
      </c>
      <c r="D259" s="31">
        <v>2.75</v>
      </c>
      <c r="E259" s="32">
        <f t="shared" si="8"/>
        <v>53.02</v>
      </c>
      <c r="F259" s="28">
        <f t="shared" si="9"/>
        <v>7.0109090909090916</v>
      </c>
    </row>
    <row r="260" spans="1:6" x14ac:dyDescent="0.2">
      <c r="A260" s="30">
        <v>16</v>
      </c>
      <c r="B260" s="27">
        <v>8</v>
      </c>
      <c r="C260" s="31">
        <v>19.68</v>
      </c>
      <c r="D260" s="31">
        <v>2.46</v>
      </c>
      <c r="E260" s="32">
        <f t="shared" si="8"/>
        <v>48.412799999999997</v>
      </c>
      <c r="F260" s="28">
        <f t="shared" si="9"/>
        <v>8</v>
      </c>
    </row>
    <row r="261" spans="1:6" x14ac:dyDescent="0.2">
      <c r="A261" s="30">
        <v>17</v>
      </c>
      <c r="B261" s="27">
        <v>9</v>
      </c>
      <c r="C261" s="31">
        <v>19.98</v>
      </c>
      <c r="D261" s="31">
        <v>2.2200000000000002</v>
      </c>
      <c r="E261" s="32">
        <f t="shared" si="8"/>
        <v>44.355600000000003</v>
      </c>
      <c r="F261" s="28">
        <f t="shared" si="9"/>
        <v>9</v>
      </c>
    </row>
    <row r="262" spans="1:6" x14ac:dyDescent="0.2">
      <c r="A262" s="30">
        <v>18</v>
      </c>
      <c r="B262" s="27">
        <v>10</v>
      </c>
      <c r="C262" s="31">
        <v>20.21</v>
      </c>
      <c r="D262" s="31">
        <v>2.02</v>
      </c>
      <c r="E262" s="32">
        <f t="shared" si="8"/>
        <v>40.824200000000005</v>
      </c>
      <c r="F262" s="28">
        <f t="shared" si="9"/>
        <v>10.004950495049505</v>
      </c>
    </row>
    <row r="263" spans="1:6" x14ac:dyDescent="0.2">
      <c r="A263" s="30">
        <v>19</v>
      </c>
      <c r="B263" s="27">
        <v>11</v>
      </c>
      <c r="C263" s="31">
        <v>20.41</v>
      </c>
      <c r="D263" s="31">
        <v>1.86</v>
      </c>
      <c r="E263" s="32">
        <f t="shared" si="8"/>
        <v>37.962600000000002</v>
      </c>
      <c r="F263" s="28">
        <f t="shared" si="9"/>
        <v>10.973118279569892</v>
      </c>
    </row>
    <row r="264" spans="1:6" x14ac:dyDescent="0.2">
      <c r="A264" s="30">
        <v>20</v>
      </c>
      <c r="B264" s="27">
        <v>12</v>
      </c>
      <c r="C264" s="31">
        <v>20.56</v>
      </c>
      <c r="D264" s="31">
        <v>1.72</v>
      </c>
      <c r="E264" s="32">
        <f t="shared" si="8"/>
        <v>35.363199999999999</v>
      </c>
      <c r="F264" s="28">
        <f t="shared" si="9"/>
        <v>11.953488372093023</v>
      </c>
    </row>
    <row r="265" spans="1:6" x14ac:dyDescent="0.2">
      <c r="A265" s="30">
        <v>21</v>
      </c>
      <c r="B265" s="27">
        <v>13</v>
      </c>
      <c r="C265" s="31">
        <v>20.69</v>
      </c>
      <c r="D265" s="31">
        <v>1.59</v>
      </c>
      <c r="E265" s="32">
        <f t="shared" si="8"/>
        <v>32.897100000000002</v>
      </c>
      <c r="F265" s="28">
        <f t="shared" si="9"/>
        <v>13.012578616352201</v>
      </c>
    </row>
    <row r="266" spans="1:6" x14ac:dyDescent="0.2">
      <c r="A266" s="30">
        <v>22</v>
      </c>
      <c r="B266" s="27">
        <v>14</v>
      </c>
      <c r="C266" s="31">
        <v>20.8</v>
      </c>
      <c r="D266" s="31">
        <v>1.49</v>
      </c>
      <c r="E266" s="32">
        <f t="shared" si="8"/>
        <v>30.992000000000001</v>
      </c>
      <c r="F266" s="28">
        <f t="shared" si="9"/>
        <v>13.959731543624162</v>
      </c>
    </row>
    <row r="267" spans="1:6" x14ac:dyDescent="0.2">
      <c r="A267" s="30">
        <v>23</v>
      </c>
      <c r="B267" s="27">
        <v>16</v>
      </c>
      <c r="C267" s="31">
        <v>20.98</v>
      </c>
      <c r="D267" s="31">
        <v>1.3</v>
      </c>
      <c r="E267" s="32">
        <f t="shared" si="8"/>
        <v>27.274000000000001</v>
      </c>
      <c r="F267" s="28">
        <f t="shared" si="9"/>
        <v>16.138461538461538</v>
      </c>
    </row>
    <row r="268" spans="1:6" x14ac:dyDescent="0.2">
      <c r="A268" s="30">
        <v>24</v>
      </c>
      <c r="B268" s="27">
        <v>18</v>
      </c>
      <c r="C268" s="31">
        <v>21.08</v>
      </c>
      <c r="D268" s="31">
        <v>1.17</v>
      </c>
      <c r="E268" s="32">
        <f t="shared" si="8"/>
        <v>24.663599999999995</v>
      </c>
      <c r="F268" s="28">
        <f t="shared" si="9"/>
        <v>18.017094017094017</v>
      </c>
    </row>
    <row r="269" spans="1:6" x14ac:dyDescent="0.2">
      <c r="A269" s="30">
        <v>25</v>
      </c>
      <c r="B269" s="27">
        <v>20</v>
      </c>
      <c r="C269" s="31">
        <v>21.18</v>
      </c>
      <c r="D269" s="31">
        <v>1.06</v>
      </c>
      <c r="E269" s="32">
        <f t="shared" si="8"/>
        <v>22.450800000000001</v>
      </c>
      <c r="F269" s="28">
        <f t="shared" si="9"/>
        <v>19.981132075471695</v>
      </c>
    </row>
    <row r="270" spans="1:6" x14ac:dyDescent="0.2">
      <c r="A270" s="30">
        <v>26</v>
      </c>
      <c r="B270" s="27">
        <v>24</v>
      </c>
      <c r="C270" s="31">
        <v>21.39</v>
      </c>
      <c r="D270" s="31">
        <v>0.89</v>
      </c>
      <c r="E270" s="32">
        <f t="shared" si="8"/>
        <v>19.037100000000002</v>
      </c>
      <c r="F270" s="28">
        <f t="shared" si="9"/>
        <v>24.033707865168541</v>
      </c>
    </row>
    <row r="271" spans="1:6" x14ac:dyDescent="0.2">
      <c r="A271" s="30">
        <v>27</v>
      </c>
      <c r="B271" s="27">
        <v>28</v>
      </c>
      <c r="C271" s="31">
        <v>21.45</v>
      </c>
      <c r="D271" s="31">
        <v>0.77</v>
      </c>
      <c r="E271" s="32">
        <f t="shared" si="8"/>
        <v>16.516500000000001</v>
      </c>
      <c r="F271" s="28">
        <f t="shared" si="9"/>
        <v>27.857142857142854</v>
      </c>
    </row>
    <row r="272" spans="1:6" x14ac:dyDescent="0.2">
      <c r="A272" s="30">
        <v>28</v>
      </c>
      <c r="B272" s="27">
        <v>33</v>
      </c>
      <c r="C272" s="31">
        <v>21.55</v>
      </c>
      <c r="D272" s="31">
        <v>0.65</v>
      </c>
      <c r="E272" s="32">
        <f t="shared" si="8"/>
        <v>14.0075</v>
      </c>
      <c r="F272" s="28">
        <f t="shared" si="9"/>
        <v>33.153846153846153</v>
      </c>
    </row>
    <row r="273" spans="1:15" x14ac:dyDescent="0.2">
      <c r="A273" s="30">
        <v>29</v>
      </c>
      <c r="B273" s="27">
        <v>40</v>
      </c>
      <c r="C273" s="31">
        <v>21.66</v>
      </c>
      <c r="D273" s="31">
        <v>0.54</v>
      </c>
      <c r="E273" s="32">
        <f t="shared" si="8"/>
        <v>11.696400000000001</v>
      </c>
      <c r="F273" s="28">
        <f t="shared" si="9"/>
        <v>40.111111111111107</v>
      </c>
    </row>
    <row r="274" spans="1:15" x14ac:dyDescent="0.2">
      <c r="A274" s="30">
        <v>30</v>
      </c>
      <c r="B274" s="27">
        <v>50</v>
      </c>
      <c r="C274" s="31">
        <v>21.75</v>
      </c>
      <c r="D274" s="31">
        <v>0.44</v>
      </c>
      <c r="E274" s="32">
        <f t="shared" si="8"/>
        <v>9.57</v>
      </c>
      <c r="F274" s="28">
        <f t="shared" si="9"/>
        <v>49.43181818181818</v>
      </c>
    </row>
    <row r="275" spans="1:15" x14ac:dyDescent="0.2">
      <c r="A275" s="30">
        <v>31</v>
      </c>
      <c r="B275" s="27">
        <v>70</v>
      </c>
      <c r="C275" s="31">
        <v>21.86</v>
      </c>
      <c r="D275" s="31">
        <v>0.31</v>
      </c>
      <c r="E275" s="32">
        <f t="shared" si="8"/>
        <v>6.7766000000000002</v>
      </c>
      <c r="F275" s="28">
        <f t="shared" si="9"/>
        <v>70.516129032258064</v>
      </c>
    </row>
    <row r="276" spans="1:15" x14ac:dyDescent="0.2">
      <c r="A276" s="30">
        <v>32</v>
      </c>
      <c r="B276" s="27">
        <v>110</v>
      </c>
      <c r="C276" s="31">
        <v>21.95</v>
      </c>
      <c r="D276" s="31">
        <v>0.2</v>
      </c>
      <c r="E276" s="32">
        <f t="shared" si="8"/>
        <v>4.3899999999999997</v>
      </c>
      <c r="F276" s="28">
        <f t="shared" si="9"/>
        <v>109.74999999999999</v>
      </c>
    </row>
    <row r="277" spans="1:15" x14ac:dyDescent="0.2">
      <c r="A277" s="30">
        <v>33</v>
      </c>
      <c r="B277" s="27">
        <v>200</v>
      </c>
      <c r="C277" s="31">
        <v>22.03</v>
      </c>
      <c r="D277" s="31">
        <v>0.11</v>
      </c>
      <c r="E277" s="32">
        <f t="shared" si="8"/>
        <v>2.4233000000000002</v>
      </c>
      <c r="F277" s="28">
        <f t="shared" si="9"/>
        <v>200.27272727272728</v>
      </c>
    </row>
    <row r="278" spans="1:15" x14ac:dyDescent="0.2">
      <c r="A278" s="30">
        <v>34</v>
      </c>
      <c r="B278" s="27">
        <v>400</v>
      </c>
      <c r="C278" s="31">
        <v>22.05</v>
      </c>
      <c r="D278" s="31">
        <v>0.05</v>
      </c>
      <c r="E278" s="32">
        <f t="shared" si="8"/>
        <v>1.1025</v>
      </c>
      <c r="F278" s="28">
        <f t="shared" si="9"/>
        <v>441</v>
      </c>
    </row>
    <row r="279" spans="1:15" ht="16" x14ac:dyDescent="0.2">
      <c r="A279" s="30">
        <v>35</v>
      </c>
      <c r="B279" s="27" t="s">
        <v>54</v>
      </c>
      <c r="C279" s="31">
        <v>22.1</v>
      </c>
      <c r="D279" s="31">
        <v>0</v>
      </c>
      <c r="E279" s="32">
        <f t="shared" si="8"/>
        <v>0</v>
      </c>
      <c r="F279" s="28" t="str">
        <f t="shared" si="9"/>
        <v>-</v>
      </c>
    </row>
    <row r="281" spans="1:15" x14ac:dyDescent="0.2">
      <c r="A281" s="81" t="s">
        <v>70</v>
      </c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</row>
  </sheetData>
  <mergeCells count="60">
    <mergeCell ref="A52:O52"/>
    <mergeCell ref="A1:O1"/>
    <mergeCell ref="A5:B5"/>
    <mergeCell ref="B6:D6"/>
    <mergeCell ref="B7:D7"/>
    <mergeCell ref="B8:D8"/>
    <mergeCell ref="B9:D9"/>
    <mergeCell ref="A11:D11"/>
    <mergeCell ref="I11:L11"/>
    <mergeCell ref="A20:O20"/>
    <mergeCell ref="A23:F23"/>
    <mergeCell ref="H23:I23"/>
    <mergeCell ref="A107:O107"/>
    <mergeCell ref="A56:O56"/>
    <mergeCell ref="A60:B60"/>
    <mergeCell ref="B61:D61"/>
    <mergeCell ref="B62:D62"/>
    <mergeCell ref="B63:D63"/>
    <mergeCell ref="B64:D64"/>
    <mergeCell ref="A66:D66"/>
    <mergeCell ref="I66:L66"/>
    <mergeCell ref="A75:O75"/>
    <mergeCell ref="A78:F78"/>
    <mergeCell ref="H78:I78"/>
    <mergeCell ref="A162:O162"/>
    <mergeCell ref="A111:O111"/>
    <mergeCell ref="A115:B115"/>
    <mergeCell ref="B116:D116"/>
    <mergeCell ref="B117:D117"/>
    <mergeCell ref="B118:D118"/>
    <mergeCell ref="B119:D119"/>
    <mergeCell ref="A121:D121"/>
    <mergeCell ref="I121:L121"/>
    <mergeCell ref="A130:O130"/>
    <mergeCell ref="A133:F133"/>
    <mergeCell ref="H133:I133"/>
    <mergeCell ref="A217:O217"/>
    <mergeCell ref="A166:O166"/>
    <mergeCell ref="A170:B170"/>
    <mergeCell ref="B171:D171"/>
    <mergeCell ref="B172:D172"/>
    <mergeCell ref="B173:D173"/>
    <mergeCell ref="B174:D174"/>
    <mergeCell ref="A176:D176"/>
    <mergeCell ref="I176:L176"/>
    <mergeCell ref="A185:O185"/>
    <mergeCell ref="A188:F188"/>
    <mergeCell ref="H188:I188"/>
    <mergeCell ref="A281:O281"/>
    <mergeCell ref="A221:O221"/>
    <mergeCell ref="A225:B225"/>
    <mergeCell ref="B226:D226"/>
    <mergeCell ref="B227:D227"/>
    <mergeCell ref="B228:D228"/>
    <mergeCell ref="B229:D229"/>
    <mergeCell ref="A231:D231"/>
    <mergeCell ref="I231:L231"/>
    <mergeCell ref="A240:O240"/>
    <mergeCell ref="A243:F243"/>
    <mergeCell ref="H243:I24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A955-09E9-7444-AD98-1216CCD11E04}">
  <dimension ref="A1:W51"/>
  <sheetViews>
    <sheetView workbookViewId="0"/>
  </sheetViews>
  <sheetFormatPr baseColWidth="10" defaultColWidth="8.6640625" defaultRowHeight="15" x14ac:dyDescent="0.2"/>
  <cols>
    <col min="1" max="1" width="9" bestFit="1" customWidth="1"/>
    <col min="2" max="2" width="10.5" bestFit="1" customWidth="1"/>
    <col min="3" max="12" width="9" bestFit="1" customWidth="1"/>
    <col min="15" max="15" width="9" bestFit="1" customWidth="1"/>
  </cols>
  <sheetData>
    <row r="1" spans="1:23" x14ac:dyDescent="0.2">
      <c r="A1" s="20"/>
      <c r="B1" s="35"/>
      <c r="C1" s="36"/>
      <c r="D1" s="20"/>
      <c r="E1" s="37"/>
      <c r="F1" s="36"/>
      <c r="G1" s="36"/>
      <c r="H1" s="38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3" x14ac:dyDescent="0.2">
      <c r="A3" s="91"/>
      <c r="B3" s="92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3" x14ac:dyDescent="0.2">
      <c r="A4" s="39"/>
      <c r="B4" s="93"/>
      <c r="C4" s="93"/>
      <c r="D4" s="94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3" x14ac:dyDescent="0.2">
      <c r="A5" s="39"/>
      <c r="B5" s="93"/>
      <c r="C5" s="93"/>
      <c r="D5" s="94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x14ac:dyDescent="0.2">
      <c r="A6" s="39"/>
      <c r="B6" s="93"/>
      <c r="C6" s="93"/>
      <c r="D6" s="9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3" x14ac:dyDescent="0.2">
      <c r="A7" s="39"/>
      <c r="B7" s="93"/>
      <c r="C7" s="93"/>
      <c r="D7" s="94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3" x14ac:dyDescent="0.2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spans="1:23" x14ac:dyDescent="0.2">
      <c r="A9" s="91"/>
      <c r="B9" s="95"/>
      <c r="C9" s="95"/>
      <c r="D9" s="92"/>
      <c r="E9" s="36"/>
      <c r="F9" s="36"/>
      <c r="G9" s="36"/>
      <c r="H9" s="36"/>
      <c r="I9" s="91"/>
      <c r="J9" s="95"/>
      <c r="K9" s="95"/>
      <c r="L9" s="92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pans="1:23" x14ac:dyDescent="0.2">
      <c r="A10" s="40"/>
      <c r="B10" s="41"/>
      <c r="C10" s="41"/>
      <c r="D10" s="41"/>
      <c r="E10" s="36"/>
      <c r="F10" s="42"/>
      <c r="G10" s="43"/>
      <c r="H10" s="36"/>
      <c r="I10" s="40"/>
      <c r="J10" s="41"/>
      <c r="K10" s="41"/>
      <c r="L10" s="41"/>
      <c r="M10" s="36"/>
      <c r="N10" s="42"/>
      <c r="O10" s="43"/>
      <c r="P10" s="36"/>
      <c r="Q10" s="36"/>
      <c r="R10" s="36"/>
      <c r="S10" s="36"/>
      <c r="T10" s="36"/>
      <c r="U10" s="36"/>
      <c r="V10" s="36"/>
      <c r="W10" s="36"/>
    </row>
    <row r="11" spans="1:23" x14ac:dyDescent="0.2">
      <c r="A11" s="39"/>
      <c r="B11" s="44"/>
      <c r="C11" s="44"/>
      <c r="D11" s="44"/>
      <c r="E11" s="36"/>
      <c r="F11" s="45"/>
      <c r="G11" s="46"/>
      <c r="H11" s="36"/>
      <c r="I11" s="39"/>
      <c r="J11" s="44"/>
      <c r="K11" s="44"/>
      <c r="L11" s="44"/>
      <c r="M11" s="36"/>
      <c r="N11" s="45"/>
      <c r="O11" s="46"/>
      <c r="P11" s="36"/>
      <c r="Q11" s="36"/>
      <c r="R11" s="36"/>
      <c r="S11" s="36"/>
      <c r="T11" s="36"/>
      <c r="U11" s="36"/>
      <c r="V11" s="36"/>
      <c r="W11" s="36"/>
    </row>
    <row r="12" spans="1:23" x14ac:dyDescent="0.2">
      <c r="A12" s="39"/>
      <c r="B12" s="47"/>
      <c r="C12" s="47"/>
      <c r="D12" s="47"/>
      <c r="E12" s="36"/>
      <c r="F12" s="45"/>
      <c r="G12" s="46"/>
      <c r="H12" s="36"/>
      <c r="I12" s="39"/>
      <c r="J12" s="47"/>
      <c r="K12" s="47"/>
      <c r="L12" s="47"/>
      <c r="M12" s="36"/>
      <c r="N12" s="45"/>
      <c r="O12" s="46"/>
      <c r="P12" s="36"/>
      <c r="Q12" s="36"/>
      <c r="R12" s="36"/>
      <c r="S12" s="36"/>
      <c r="T12" s="36"/>
      <c r="U12" s="36"/>
      <c r="V12" s="36"/>
      <c r="W12" s="36"/>
    </row>
    <row r="13" spans="1:23" x14ac:dyDescent="0.2">
      <c r="A13" s="39"/>
      <c r="B13" s="47"/>
      <c r="C13" s="47"/>
      <c r="D13" s="47"/>
      <c r="E13" s="36"/>
      <c r="F13" s="45"/>
      <c r="G13" s="46"/>
      <c r="H13" s="36"/>
      <c r="I13" s="39"/>
      <c r="J13" s="47"/>
      <c r="K13" s="47"/>
      <c r="L13" s="47"/>
      <c r="M13" s="36"/>
      <c r="N13" s="45"/>
      <c r="O13" s="46"/>
      <c r="P13" s="36"/>
      <c r="Q13" s="36"/>
      <c r="R13" s="36"/>
      <c r="S13" s="36"/>
      <c r="T13" s="36"/>
      <c r="U13" s="36"/>
      <c r="V13" s="36"/>
      <c r="W13" s="36"/>
    </row>
    <row r="14" spans="1:23" x14ac:dyDescent="0.2">
      <c r="A14" s="36"/>
      <c r="B14" s="36"/>
      <c r="C14" s="36"/>
      <c r="D14" s="36"/>
      <c r="E14" s="36"/>
      <c r="F14" s="45"/>
      <c r="G14" s="46"/>
      <c r="H14" s="36"/>
      <c r="I14" s="36"/>
      <c r="J14" s="36"/>
      <c r="K14" s="36"/>
      <c r="L14" s="36"/>
      <c r="M14" s="36"/>
      <c r="N14" s="45"/>
      <c r="O14" s="46"/>
      <c r="P14" s="36"/>
      <c r="Q14" s="36"/>
      <c r="R14" s="36"/>
      <c r="S14" s="36"/>
      <c r="T14" s="36"/>
      <c r="U14" s="36"/>
      <c r="V14" s="36"/>
      <c r="W14" s="36"/>
    </row>
    <row r="15" spans="1:23" x14ac:dyDescent="0.2">
      <c r="A15" s="36"/>
      <c r="B15" s="36"/>
      <c r="C15" s="36"/>
      <c r="D15" s="36"/>
      <c r="E15" s="36"/>
      <c r="F15" s="45"/>
      <c r="G15" s="46"/>
      <c r="H15" s="36"/>
      <c r="I15" s="36"/>
      <c r="J15" s="36"/>
      <c r="K15" s="36"/>
      <c r="L15" s="36"/>
      <c r="M15" s="36"/>
      <c r="N15" s="45"/>
      <c r="O15" s="46"/>
      <c r="P15" s="36"/>
      <c r="Q15" s="36"/>
      <c r="R15" s="36"/>
      <c r="S15" s="36"/>
      <c r="T15" s="36"/>
      <c r="U15" s="36"/>
      <c r="V15" s="36"/>
      <c r="W15" s="36"/>
    </row>
    <row r="16" spans="1:23" x14ac:dyDescent="0.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45"/>
      <c r="O16" s="46"/>
      <c r="P16" s="36"/>
      <c r="Q16" s="36"/>
      <c r="R16" s="36"/>
      <c r="S16" s="36"/>
      <c r="T16" s="36"/>
      <c r="U16" s="36"/>
      <c r="V16" s="36"/>
      <c r="W16" s="36"/>
    </row>
    <row r="17" spans="1:23" x14ac:dyDescent="0.2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 spans="1:23" x14ac:dyDescent="0.2">
      <c r="A18" s="91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2"/>
      <c r="P18" s="36"/>
      <c r="Q18" s="36"/>
      <c r="R18" s="36"/>
      <c r="S18" s="36"/>
      <c r="T18" s="36"/>
      <c r="U18" s="36"/>
      <c r="V18" s="36"/>
      <c r="W18" s="36"/>
    </row>
    <row r="19" spans="1:23" x14ac:dyDescent="0.2">
      <c r="A19" s="45"/>
      <c r="B19" s="44"/>
      <c r="C19" s="36"/>
      <c r="D19" s="45"/>
      <c r="E19" s="44"/>
      <c r="F19" s="36"/>
      <c r="G19" s="45"/>
      <c r="H19" s="48"/>
      <c r="I19" s="36"/>
      <c r="J19" s="36"/>
      <c r="K19" s="45"/>
      <c r="L19" s="48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 spans="1:23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 spans="1:23" x14ac:dyDescent="0.2">
      <c r="A21" s="91"/>
      <c r="B21" s="95"/>
      <c r="C21" s="95"/>
      <c r="D21" s="95"/>
      <c r="E21" s="95"/>
      <c r="F21" s="92"/>
      <c r="G21" s="36"/>
      <c r="H21" s="91"/>
      <c r="I21" s="92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spans="1:23" x14ac:dyDescent="0.2">
      <c r="A22" s="40"/>
      <c r="B22" s="41"/>
      <c r="C22" s="41"/>
      <c r="D22" s="41"/>
      <c r="E22" s="41"/>
      <c r="F22" s="41"/>
      <c r="G22" s="36"/>
      <c r="H22" s="36"/>
      <c r="I22" s="36"/>
      <c r="J22" s="36"/>
      <c r="K22" s="49"/>
      <c r="L22" s="96"/>
      <c r="M22" s="9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spans="1:23" x14ac:dyDescent="0.2">
      <c r="A23" s="50"/>
      <c r="B23" s="44"/>
      <c r="C23" s="47"/>
      <c r="D23" s="47"/>
      <c r="E23" s="46"/>
      <c r="F23" s="46"/>
      <c r="G23" s="36"/>
      <c r="H23" s="51"/>
      <c r="I23" s="52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spans="1:23" x14ac:dyDescent="0.2">
      <c r="A24" s="50"/>
      <c r="B24" s="44"/>
      <c r="C24" s="47"/>
      <c r="D24" s="47"/>
      <c r="E24" s="46"/>
      <c r="F24" s="46"/>
      <c r="G24" s="36"/>
      <c r="H24" s="39"/>
      <c r="I24" s="4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spans="1:23" x14ac:dyDescent="0.2">
      <c r="A25" s="50"/>
      <c r="B25" s="44"/>
      <c r="C25" s="47"/>
      <c r="D25" s="47"/>
      <c r="E25" s="46"/>
      <c r="F25" s="46"/>
      <c r="G25" s="36"/>
      <c r="H25" s="39"/>
      <c r="I25" s="54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 spans="1:23" x14ac:dyDescent="0.2">
      <c r="A26" s="50"/>
      <c r="B26" s="44"/>
      <c r="C26" s="47"/>
      <c r="D26" s="47"/>
      <c r="E26" s="46"/>
      <c r="F26" s="46"/>
      <c r="G26" s="36"/>
      <c r="H26" s="39"/>
      <c r="I26" s="54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 spans="1:23" x14ac:dyDescent="0.2">
      <c r="A27" s="50"/>
      <c r="B27" s="44"/>
      <c r="C27" s="47"/>
      <c r="D27" s="47"/>
      <c r="E27" s="46"/>
      <c r="F27" s="46"/>
      <c r="G27" s="36"/>
      <c r="H27" s="39"/>
      <c r="I27" s="54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 spans="1:23" x14ac:dyDescent="0.2">
      <c r="A28" s="50"/>
      <c r="B28" s="44"/>
      <c r="C28" s="47"/>
      <c r="D28" s="47"/>
      <c r="E28" s="46"/>
      <c r="F28" s="46"/>
      <c r="G28" s="36"/>
      <c r="H28" s="39"/>
      <c r="I28" s="55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 spans="1:23" x14ac:dyDescent="0.2">
      <c r="A29" s="50"/>
      <c r="B29" s="44"/>
      <c r="C29" s="47"/>
      <c r="D29" s="47"/>
      <c r="E29" s="46"/>
      <c r="F29" s="46"/>
      <c r="G29" s="36"/>
      <c r="H29" s="39"/>
      <c r="I29" s="55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 spans="1:23" x14ac:dyDescent="0.2">
      <c r="A30" s="50"/>
      <c r="B30" s="44"/>
      <c r="C30" s="47"/>
      <c r="D30" s="47"/>
      <c r="E30" s="46"/>
      <c r="F30" s="54"/>
      <c r="G30" s="36"/>
      <c r="H30" s="39"/>
      <c r="I30" s="53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spans="1:23" x14ac:dyDescent="0.2">
      <c r="A31" s="50"/>
      <c r="B31" s="44"/>
      <c r="C31" s="47"/>
      <c r="D31" s="47"/>
      <c r="E31" s="46"/>
      <c r="F31" s="4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spans="1:23" x14ac:dyDescent="0.2">
      <c r="A32" s="50"/>
      <c r="B32" s="44"/>
      <c r="C32" s="47"/>
      <c r="D32" s="47"/>
      <c r="E32" s="46"/>
      <c r="F32" s="4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spans="1:23" x14ac:dyDescent="0.2">
      <c r="A33" s="50"/>
      <c r="B33" s="44"/>
      <c r="C33" s="47"/>
      <c r="D33" s="47"/>
      <c r="E33" s="46"/>
      <c r="F33" s="4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spans="1:23" x14ac:dyDescent="0.2">
      <c r="A34" s="50"/>
      <c r="B34" s="44"/>
      <c r="C34" s="47"/>
      <c r="D34" s="47"/>
      <c r="E34" s="46"/>
      <c r="F34" s="4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spans="1:23" x14ac:dyDescent="0.2">
      <c r="A35" s="50"/>
      <c r="B35" s="44"/>
      <c r="C35" s="47"/>
      <c r="D35" s="47"/>
      <c r="E35" s="46"/>
      <c r="F35" s="4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 spans="1:23" x14ac:dyDescent="0.2">
      <c r="A36" s="50"/>
      <c r="B36" s="44"/>
      <c r="C36" s="47"/>
      <c r="D36" s="47"/>
      <c r="E36" s="46"/>
      <c r="F36" s="4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 spans="1:23" x14ac:dyDescent="0.2">
      <c r="A37" s="50"/>
      <c r="B37" s="44"/>
      <c r="C37" s="47"/>
      <c r="D37" s="47"/>
      <c r="E37" s="46"/>
      <c r="F37" s="4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 spans="1:23" x14ac:dyDescent="0.2">
      <c r="A38" s="50"/>
      <c r="B38" s="44"/>
      <c r="C38" s="47"/>
      <c r="D38" s="47"/>
      <c r="E38" s="46"/>
      <c r="F38" s="4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spans="1:23" x14ac:dyDescent="0.2">
      <c r="A39" s="50"/>
      <c r="B39" s="44"/>
      <c r="C39" s="47"/>
      <c r="D39" s="47"/>
      <c r="E39" s="46"/>
      <c r="F39" s="4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spans="1:23" x14ac:dyDescent="0.2">
      <c r="A40" s="50"/>
      <c r="B40" s="44"/>
      <c r="C40" s="47"/>
      <c r="D40" s="47"/>
      <c r="E40" s="46"/>
      <c r="F40" s="4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spans="1:23" x14ac:dyDescent="0.2">
      <c r="A41" s="50"/>
      <c r="B41" s="44"/>
      <c r="C41" s="47"/>
      <c r="D41" s="47"/>
      <c r="E41" s="46"/>
      <c r="F41" s="4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spans="1:23" x14ac:dyDescent="0.2">
      <c r="A42" s="50"/>
      <c r="B42" s="44"/>
      <c r="C42" s="47"/>
      <c r="D42" s="47"/>
      <c r="E42" s="46"/>
      <c r="F42" s="4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 spans="1:23" x14ac:dyDescent="0.2">
      <c r="A43" s="50"/>
      <c r="B43" s="44"/>
      <c r="C43" s="47"/>
      <c r="D43" s="47"/>
      <c r="E43" s="46"/>
      <c r="F43" s="4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 spans="1:23" x14ac:dyDescent="0.2">
      <c r="A44" s="50"/>
      <c r="B44" s="44"/>
      <c r="C44" s="47"/>
      <c r="D44" s="47"/>
      <c r="E44" s="46"/>
      <c r="F44" s="4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 spans="1:23" x14ac:dyDescent="0.2">
      <c r="A45" s="50"/>
      <c r="B45" s="44"/>
      <c r="C45" s="47"/>
      <c r="D45" s="47"/>
      <c r="E45" s="46"/>
      <c r="F45" s="4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 spans="1:23" x14ac:dyDescent="0.2">
      <c r="A46" s="50"/>
      <c r="B46" s="44"/>
      <c r="C46" s="47"/>
      <c r="D46" s="47"/>
      <c r="E46" s="46"/>
      <c r="F46" s="4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spans="1:23" x14ac:dyDescent="0.2">
      <c r="A47" s="50"/>
      <c r="B47" s="44"/>
      <c r="C47" s="47"/>
      <c r="D47" s="47"/>
      <c r="E47" s="46"/>
      <c r="F47" s="4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spans="1:23" x14ac:dyDescent="0.2">
      <c r="A48" s="50"/>
      <c r="B48" s="44"/>
      <c r="C48" s="47"/>
      <c r="D48" s="47"/>
      <c r="E48" s="46"/>
      <c r="F48" s="54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spans="1:23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 spans="1:23" x14ac:dyDescent="0.2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36"/>
      <c r="Q50" s="36"/>
      <c r="R50" s="36"/>
      <c r="S50" s="36"/>
      <c r="T50" s="36"/>
      <c r="U50" s="36"/>
      <c r="V50" s="36"/>
      <c r="W50" s="36"/>
    </row>
    <row r="51" spans="1:23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</sheetData>
  <mergeCells count="12">
    <mergeCell ref="A50:O50"/>
    <mergeCell ref="A3:B3"/>
    <mergeCell ref="B4:D4"/>
    <mergeCell ref="B5:D5"/>
    <mergeCell ref="B6:D6"/>
    <mergeCell ref="B7:D7"/>
    <mergeCell ref="A9:D9"/>
    <mergeCell ref="I9:L9"/>
    <mergeCell ref="A18:O18"/>
    <mergeCell ref="A21:F21"/>
    <mergeCell ref="H21:I21"/>
    <mergeCell ref="L22:M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2025-CA33-8D4C-87C0-3A0CEB022EBF}">
  <dimension ref="A3:U318"/>
  <sheetViews>
    <sheetView workbookViewId="0">
      <selection activeCell="G313" sqref="G313"/>
    </sheetView>
  </sheetViews>
  <sheetFormatPr baseColWidth="10" defaultColWidth="8.6640625" defaultRowHeight="15" x14ac:dyDescent="0.2"/>
  <cols>
    <col min="1" max="1" width="9" bestFit="1" customWidth="1"/>
    <col min="2" max="2" width="10.6640625" bestFit="1" customWidth="1"/>
    <col min="3" max="4" width="9" bestFit="1" customWidth="1"/>
    <col min="5" max="5" width="11.5" bestFit="1" customWidth="1"/>
    <col min="7" max="7" width="9" bestFit="1" customWidth="1"/>
    <col min="8" max="8" width="12.1640625" bestFit="1" customWidth="1"/>
    <col min="9" max="12" width="9" bestFit="1" customWidth="1"/>
    <col min="15" max="15" width="9" bestFit="1" customWidth="1"/>
  </cols>
  <sheetData>
    <row r="3" spans="1:15" ht="90" x14ac:dyDescent="0.2">
      <c r="A3" s="20" t="s">
        <v>0</v>
      </c>
      <c r="B3" s="21">
        <v>46274</v>
      </c>
      <c r="D3" s="20" t="s">
        <v>1</v>
      </c>
      <c r="E3" s="22">
        <v>0.60416666666666663</v>
      </c>
      <c r="H3" s="23" t="s">
        <v>2</v>
      </c>
    </row>
    <row r="5" spans="1:15" x14ac:dyDescent="0.2">
      <c r="A5" s="76" t="s">
        <v>3</v>
      </c>
      <c r="B5" s="76"/>
    </row>
    <row r="6" spans="1:15" ht="48" x14ac:dyDescent="0.2">
      <c r="A6" s="24" t="s">
        <v>4</v>
      </c>
      <c r="B6" s="77">
        <v>60</v>
      </c>
      <c r="C6" s="77"/>
      <c r="D6" s="77"/>
    </row>
    <row r="7" spans="1:15" ht="48" x14ac:dyDescent="0.2">
      <c r="A7" s="24" t="s">
        <v>5</v>
      </c>
      <c r="B7" s="77" t="s">
        <v>6</v>
      </c>
      <c r="C7" s="77"/>
      <c r="D7" s="77"/>
    </row>
    <row r="8" spans="1:15" ht="48" x14ac:dyDescent="0.2">
      <c r="A8" s="24" t="s">
        <v>7</v>
      </c>
      <c r="B8" s="77" t="s">
        <v>8</v>
      </c>
      <c r="C8" s="77"/>
      <c r="D8" s="77"/>
    </row>
    <row r="9" spans="1:15" ht="48" x14ac:dyDescent="0.2">
      <c r="A9" s="24" t="s">
        <v>9</v>
      </c>
      <c r="B9" s="77" t="s">
        <v>10</v>
      </c>
      <c r="C9" s="77"/>
      <c r="D9" s="77"/>
    </row>
    <row r="11" spans="1:15" ht="14.75" customHeight="1" x14ac:dyDescent="0.2">
      <c r="A11" s="76" t="s">
        <v>11</v>
      </c>
      <c r="B11" s="76"/>
      <c r="C11" s="76"/>
      <c r="D11" s="76"/>
      <c r="I11" s="76" t="s">
        <v>12</v>
      </c>
      <c r="J11" s="76"/>
      <c r="K11" s="76"/>
      <c r="L11" s="76"/>
    </row>
    <row r="12" spans="1:15" ht="16" x14ac:dyDescent="0.2">
      <c r="A12" s="25" t="s">
        <v>13</v>
      </c>
      <c r="B12" s="25" t="s">
        <v>14</v>
      </c>
      <c r="C12" s="25" t="s">
        <v>15</v>
      </c>
      <c r="D12" s="25" t="s">
        <v>16</v>
      </c>
      <c r="F12" s="25" t="s">
        <v>17</v>
      </c>
      <c r="G12" s="25" t="s">
        <v>18</v>
      </c>
      <c r="I12" s="25" t="s">
        <v>13</v>
      </c>
      <c r="J12" s="25" t="s">
        <v>14</v>
      </c>
      <c r="K12" s="25" t="s">
        <v>15</v>
      </c>
      <c r="L12" s="25" t="s">
        <v>16</v>
      </c>
      <c r="N12" s="25" t="s">
        <v>17</v>
      </c>
      <c r="O12" s="25" t="s">
        <v>18</v>
      </c>
    </row>
    <row r="13" spans="1:15" ht="16" x14ac:dyDescent="0.2">
      <c r="A13" s="26" t="s">
        <v>19</v>
      </c>
      <c r="B13" s="27">
        <v>43.8</v>
      </c>
      <c r="C13" s="27">
        <v>46.6</v>
      </c>
      <c r="D13" s="27">
        <v>45.6</v>
      </c>
      <c r="F13" s="20" t="s">
        <v>20</v>
      </c>
      <c r="G13" s="28">
        <f>IFERROR(AVERAGE(B13:D15),"-")</f>
        <v>45.577777777777776</v>
      </c>
      <c r="I13" s="26" t="s">
        <v>19</v>
      </c>
      <c r="J13" s="27">
        <v>222</v>
      </c>
      <c r="K13" s="27">
        <v>337</v>
      </c>
      <c r="L13" s="27">
        <v>317.60000000000002</v>
      </c>
      <c r="N13" s="20" t="s">
        <v>20</v>
      </c>
      <c r="O13" s="28">
        <f>IFERROR(AVERAGE(J13:L15),"-")</f>
        <v>317.28888888888883</v>
      </c>
    </row>
    <row r="14" spans="1:15" ht="16" x14ac:dyDescent="0.2">
      <c r="A14" s="26" t="s">
        <v>21</v>
      </c>
      <c r="B14" s="29">
        <v>43.6</v>
      </c>
      <c r="C14" s="29">
        <v>48.6</v>
      </c>
      <c r="D14" s="29">
        <v>47.5</v>
      </c>
      <c r="F14" s="20" t="s">
        <v>22</v>
      </c>
      <c r="G14" s="28">
        <f>IFERROR(MIN(B13:D15),"-")</f>
        <v>42.3</v>
      </c>
      <c r="I14" s="26" t="s">
        <v>21</v>
      </c>
      <c r="J14" s="29">
        <v>309</v>
      </c>
      <c r="K14" s="29">
        <v>373</v>
      </c>
      <c r="L14" s="29">
        <v>352.8</v>
      </c>
      <c r="N14" s="20" t="s">
        <v>22</v>
      </c>
      <c r="O14" s="28">
        <f>IFERROR(MIN(J13:L15),"-")</f>
        <v>222</v>
      </c>
    </row>
    <row r="15" spans="1:15" ht="16" x14ac:dyDescent="0.2">
      <c r="A15" s="26" t="s">
        <v>23</v>
      </c>
      <c r="B15" s="29">
        <v>42.3</v>
      </c>
      <c r="C15" s="29">
        <v>45</v>
      </c>
      <c r="D15" s="29">
        <v>47.2</v>
      </c>
      <c r="F15" s="20" t="s">
        <v>24</v>
      </c>
      <c r="G15" s="28">
        <f>IFERROR(MAX(B13:D15),"-")</f>
        <v>48.6</v>
      </c>
      <c r="I15" s="26" t="s">
        <v>23</v>
      </c>
      <c r="J15" s="29">
        <v>288</v>
      </c>
      <c r="K15" s="29">
        <v>351</v>
      </c>
      <c r="L15" s="29">
        <v>305.2</v>
      </c>
      <c r="N15" s="20" t="s">
        <v>24</v>
      </c>
      <c r="O15" s="28">
        <f>IFERROR(MAX(J13:L15),"-")</f>
        <v>373</v>
      </c>
    </row>
    <row r="16" spans="1:15" x14ac:dyDescent="0.2">
      <c r="F16" s="20" t="s">
        <v>25</v>
      </c>
      <c r="G16" s="28">
        <f>IFERROR(G15-G14,"-")</f>
        <v>6.3000000000000043</v>
      </c>
      <c r="N16" s="20" t="s">
        <v>25</v>
      </c>
      <c r="O16" s="28">
        <f>IFERROR(O15-O14,"-")</f>
        <v>151</v>
      </c>
    </row>
    <row r="17" spans="1:15" x14ac:dyDescent="0.2">
      <c r="F17" s="20" t="s">
        <v>26</v>
      </c>
      <c r="G17" s="28">
        <f>IFERROR(STDEV(B13:D15),"-")</f>
        <v>2.0813323724106274</v>
      </c>
      <c r="N17" s="20" t="s">
        <v>26</v>
      </c>
      <c r="O17" s="28">
        <f>IFERROR(STDEV(J13:L15),"-")</f>
        <v>44.780700207915068</v>
      </c>
    </row>
    <row r="18" spans="1:15" x14ac:dyDescent="0.2">
      <c r="N18" s="20" t="s">
        <v>27</v>
      </c>
      <c r="O18" s="28">
        <f>IFERROR((1-((O15-O14)/(2*O13)))*100,"-")</f>
        <v>76.204650511276085</v>
      </c>
    </row>
    <row r="20" spans="1:15" x14ac:dyDescent="0.2">
      <c r="A20" s="76" t="s">
        <v>28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 ht="16" x14ac:dyDescent="0.2">
      <c r="A21" s="20" t="s">
        <v>29</v>
      </c>
      <c r="B21" s="27">
        <v>38.4</v>
      </c>
      <c r="D21" s="20" t="s">
        <v>30</v>
      </c>
      <c r="E21" s="27">
        <v>24.9</v>
      </c>
      <c r="G21" s="20" t="s">
        <v>31</v>
      </c>
      <c r="H21" s="27" t="s">
        <v>32</v>
      </c>
      <c r="K21" s="20" t="s">
        <v>33</v>
      </c>
      <c r="L21" s="27" t="s">
        <v>34</v>
      </c>
    </row>
    <row r="23" spans="1:15" ht="14.75" customHeight="1" x14ac:dyDescent="0.2">
      <c r="A23" s="76" t="s">
        <v>35</v>
      </c>
      <c r="B23" s="76"/>
      <c r="C23" s="76"/>
      <c r="D23" s="76"/>
      <c r="E23" s="76"/>
      <c r="F23" s="76"/>
      <c r="H23" s="76" t="s">
        <v>36</v>
      </c>
      <c r="I23" s="76"/>
    </row>
    <row r="24" spans="1:15" ht="32" x14ac:dyDescent="0.2">
      <c r="A24" s="25" t="s">
        <v>37</v>
      </c>
      <c r="B24" s="25" t="s">
        <v>38</v>
      </c>
      <c r="C24" s="25" t="s">
        <v>39</v>
      </c>
      <c r="D24" s="25" t="s">
        <v>40</v>
      </c>
      <c r="E24" s="25" t="s">
        <v>41</v>
      </c>
      <c r="F24" s="25" t="s">
        <v>42</v>
      </c>
      <c r="K24" s="17" t="s">
        <v>43</v>
      </c>
      <c r="L24" s="17" t="s">
        <v>44</v>
      </c>
    </row>
    <row r="25" spans="1:15" ht="16" x14ac:dyDescent="0.2">
      <c r="A25" s="30">
        <v>1</v>
      </c>
      <c r="B25" s="27">
        <v>2</v>
      </c>
      <c r="C25" s="31">
        <v>1.42</v>
      </c>
      <c r="D25" s="31">
        <v>0.7</v>
      </c>
      <c r="E25" s="32">
        <f t="shared" ref="E25:E50" si="0">IF(OR(C25="",D25=""),"-",C25*D25)</f>
        <v>0.99399999999999988</v>
      </c>
      <c r="F25" s="28">
        <f t="shared" ref="F25:F50" si="1">IFERROR(C25/D25,"-")</f>
        <v>2.0285714285714285</v>
      </c>
      <c r="H25" s="24" t="s">
        <v>45</v>
      </c>
      <c r="I25" s="32">
        <f>IFERROR(INDEX(C25:C50,MATCH("open",B25:B50,0)),"-")</f>
        <v>20.93</v>
      </c>
      <c r="K25" s="18">
        <f>IF(ISNUMBER(I26),0,NA())</f>
        <v>0</v>
      </c>
      <c r="L25" s="19">
        <f>IF(ISNUMBER(I26),MIN(I26,$L$22),NA())</f>
        <v>0.7</v>
      </c>
    </row>
    <row r="26" spans="1:15" ht="32" x14ac:dyDescent="0.2">
      <c r="A26" s="30">
        <v>2</v>
      </c>
      <c r="B26" s="27">
        <v>3</v>
      </c>
      <c r="C26" s="31">
        <v>2.1</v>
      </c>
      <c r="D26" s="31">
        <v>0.7</v>
      </c>
      <c r="E26" s="32">
        <f t="shared" si="0"/>
        <v>1.47</v>
      </c>
      <c r="F26" s="28">
        <f t="shared" si="1"/>
        <v>3.0000000000000004</v>
      </c>
      <c r="H26" s="24" t="s">
        <v>46</v>
      </c>
      <c r="I26" s="33">
        <f>IFERROR(D25-C25*(D26-D25)/(C26-C25),"-")</f>
        <v>0.7</v>
      </c>
      <c r="K26" s="18">
        <f>IF(ISNUMBER(C25),C25,NA())</f>
        <v>1.42</v>
      </c>
      <c r="L26" s="19">
        <f>IF(ISNUMBER(D25),D25,NA())</f>
        <v>0.7</v>
      </c>
    </row>
    <row r="27" spans="1:15" ht="16" x14ac:dyDescent="0.2">
      <c r="A27" s="30">
        <v>3</v>
      </c>
      <c r="B27" s="27">
        <v>4</v>
      </c>
      <c r="C27" s="31">
        <v>2.79</v>
      </c>
      <c r="D27" s="31">
        <v>0.69</v>
      </c>
      <c r="E27" s="32">
        <f t="shared" si="0"/>
        <v>1.9250999999999998</v>
      </c>
      <c r="F27" s="28">
        <f t="shared" si="1"/>
        <v>4.0434782608695654</v>
      </c>
      <c r="H27" s="24" t="s">
        <v>47</v>
      </c>
      <c r="I27" s="33">
        <f>IFERROR(MAX(E25:E50),"-")</f>
        <v>11.849500000000001</v>
      </c>
      <c r="K27" t="s">
        <v>48</v>
      </c>
      <c r="L27" t="str">
        <f>IF(NOT(ISNUMBER(I26)),"",IF(I26&gt;$L$22,"Yes","No"))</f>
        <v>Yes</v>
      </c>
    </row>
    <row r="28" spans="1:15" ht="16" x14ac:dyDescent="0.2">
      <c r="A28" s="30">
        <v>4</v>
      </c>
      <c r="B28" s="27">
        <v>5</v>
      </c>
      <c r="C28" s="31">
        <v>3.45</v>
      </c>
      <c r="D28" s="31">
        <v>0.69</v>
      </c>
      <c r="E28" s="32">
        <f t="shared" si="0"/>
        <v>2.3805000000000001</v>
      </c>
      <c r="F28" s="28">
        <f t="shared" si="1"/>
        <v>5.0000000000000009</v>
      </c>
      <c r="H28" s="24" t="s">
        <v>49</v>
      </c>
      <c r="I28" s="32">
        <f>IFERROR(INDEX(C25:C50,MATCH(I27,E25:E50,0)),"-")</f>
        <v>18.23</v>
      </c>
    </row>
    <row r="29" spans="1:15" ht="16" x14ac:dyDescent="0.2">
      <c r="A29" s="30">
        <v>5</v>
      </c>
      <c r="B29" s="27">
        <v>6</v>
      </c>
      <c r="C29" s="31">
        <v>4.1399999999999997</v>
      </c>
      <c r="D29" s="31">
        <v>0.68</v>
      </c>
      <c r="E29" s="32">
        <f t="shared" si="0"/>
        <v>2.8151999999999999</v>
      </c>
      <c r="F29" s="28">
        <f t="shared" si="1"/>
        <v>6.0882352941176459</v>
      </c>
      <c r="H29" s="24" t="s">
        <v>50</v>
      </c>
      <c r="I29" s="32">
        <f>IFERROR(INDEX(D25:D50,MATCH(I27,E25:E50,0)),"-")</f>
        <v>0.65</v>
      </c>
    </row>
    <row r="30" spans="1:15" ht="16" x14ac:dyDescent="0.2">
      <c r="A30" s="30">
        <v>6</v>
      </c>
      <c r="B30" s="27">
        <v>7</v>
      </c>
      <c r="C30" s="31">
        <v>4.8</v>
      </c>
      <c r="D30" s="31">
        <v>0.68</v>
      </c>
      <c r="E30" s="32">
        <f t="shared" si="0"/>
        <v>3.2640000000000002</v>
      </c>
      <c r="F30" s="28">
        <f t="shared" si="1"/>
        <v>7.0588235294117636</v>
      </c>
      <c r="H30" s="24" t="s">
        <v>51</v>
      </c>
      <c r="I30" s="14">
        <f>IFERROR(I28/I29,"-")</f>
        <v>28.046153846153846</v>
      </c>
    </row>
    <row r="31" spans="1:15" ht="16" x14ac:dyDescent="0.2">
      <c r="A31" s="30">
        <v>7</v>
      </c>
      <c r="B31" s="27">
        <v>8</v>
      </c>
      <c r="C31" s="31">
        <v>5.47</v>
      </c>
      <c r="D31" s="31">
        <v>0.68</v>
      </c>
      <c r="E31" s="32">
        <f t="shared" si="0"/>
        <v>3.7196000000000002</v>
      </c>
      <c r="F31" s="28">
        <f t="shared" si="1"/>
        <v>8.0441176470588225</v>
      </c>
      <c r="H31" s="24" t="s">
        <v>52</v>
      </c>
      <c r="I31" s="14">
        <f>IFERROR(I27/(I25*I26),"-")</f>
        <v>0.80878438331854496</v>
      </c>
    </row>
    <row r="32" spans="1:15" ht="32" x14ac:dyDescent="0.2">
      <c r="A32" s="30">
        <v>8</v>
      </c>
      <c r="B32" s="27">
        <v>9</v>
      </c>
      <c r="C32" s="31">
        <v>6.14</v>
      </c>
      <c r="D32" s="31">
        <v>0.68</v>
      </c>
      <c r="E32" s="32">
        <f t="shared" si="0"/>
        <v>4.1752000000000002</v>
      </c>
      <c r="F32" s="28">
        <f t="shared" si="1"/>
        <v>9.0294117647058805</v>
      </c>
      <c r="H32" s="24" t="s">
        <v>53</v>
      </c>
      <c r="I32" s="15">
        <f>COUNT(D25:D50)</f>
        <v>26</v>
      </c>
    </row>
    <row r="33" spans="1:6" x14ac:dyDescent="0.2">
      <c r="A33" s="30">
        <v>9</v>
      </c>
      <c r="B33" s="27">
        <v>10</v>
      </c>
      <c r="C33" s="31">
        <v>6.8</v>
      </c>
      <c r="D33" s="31">
        <v>0.68</v>
      </c>
      <c r="E33" s="32">
        <f t="shared" si="0"/>
        <v>4.6240000000000006</v>
      </c>
      <c r="F33" s="28">
        <f t="shared" si="1"/>
        <v>9.9999999999999982</v>
      </c>
    </row>
    <row r="34" spans="1:6" x14ac:dyDescent="0.2">
      <c r="A34" s="30">
        <v>10</v>
      </c>
      <c r="B34" s="27">
        <v>11</v>
      </c>
      <c r="C34" s="31">
        <v>7.49</v>
      </c>
      <c r="D34" s="31">
        <v>0.68</v>
      </c>
      <c r="E34" s="32">
        <f t="shared" si="0"/>
        <v>5.0932000000000004</v>
      </c>
      <c r="F34" s="28">
        <f t="shared" si="1"/>
        <v>11.01470588235294</v>
      </c>
    </row>
    <row r="35" spans="1:6" x14ac:dyDescent="0.2">
      <c r="A35" s="30">
        <v>11</v>
      </c>
      <c r="B35" s="27">
        <v>12</v>
      </c>
      <c r="C35" s="31">
        <v>8.11</v>
      </c>
      <c r="D35" s="31">
        <v>0.68</v>
      </c>
      <c r="E35" s="32">
        <f t="shared" si="0"/>
        <v>5.5148000000000001</v>
      </c>
      <c r="F35" s="28">
        <f t="shared" si="1"/>
        <v>11.926470588235292</v>
      </c>
    </row>
    <row r="36" spans="1:6" x14ac:dyDescent="0.2">
      <c r="A36" s="30">
        <v>12</v>
      </c>
      <c r="B36" s="27">
        <v>13</v>
      </c>
      <c r="C36" s="31">
        <v>8.74</v>
      </c>
      <c r="D36" s="31">
        <v>0.67</v>
      </c>
      <c r="E36" s="32">
        <f t="shared" si="0"/>
        <v>5.8558000000000003</v>
      </c>
      <c r="F36" s="28">
        <f t="shared" si="1"/>
        <v>13.044776119402984</v>
      </c>
    </row>
    <row r="37" spans="1:6" x14ac:dyDescent="0.2">
      <c r="A37" s="30">
        <v>13</v>
      </c>
      <c r="B37" s="27">
        <v>14</v>
      </c>
      <c r="C37" s="31">
        <v>9.4</v>
      </c>
      <c r="D37" s="31">
        <v>0.67</v>
      </c>
      <c r="E37" s="32">
        <f t="shared" si="0"/>
        <v>6.2980000000000009</v>
      </c>
      <c r="F37" s="28">
        <f t="shared" si="1"/>
        <v>14.029850746268657</v>
      </c>
    </row>
    <row r="38" spans="1:6" x14ac:dyDescent="0.2">
      <c r="A38" s="30">
        <v>14</v>
      </c>
      <c r="B38" s="27">
        <v>16</v>
      </c>
      <c r="C38" s="31">
        <v>10.7</v>
      </c>
      <c r="D38" s="31">
        <v>0.67</v>
      </c>
      <c r="E38" s="32">
        <f t="shared" si="0"/>
        <v>7.1689999999999996</v>
      </c>
      <c r="F38" s="28">
        <f t="shared" si="1"/>
        <v>15.970149253731341</v>
      </c>
    </row>
    <row r="39" spans="1:6" x14ac:dyDescent="0.2">
      <c r="A39" s="30">
        <v>15</v>
      </c>
      <c r="B39" s="27">
        <v>18</v>
      </c>
      <c r="C39" s="31">
        <v>11.93</v>
      </c>
      <c r="D39" s="31">
        <v>0.66</v>
      </c>
      <c r="E39" s="32">
        <f t="shared" si="0"/>
        <v>7.8738000000000001</v>
      </c>
      <c r="F39" s="28">
        <f t="shared" si="1"/>
        <v>18.075757575757574</v>
      </c>
    </row>
    <row r="40" spans="1:6" x14ac:dyDescent="0.2">
      <c r="A40" s="30">
        <v>16</v>
      </c>
      <c r="B40" s="27">
        <v>20</v>
      </c>
      <c r="C40" s="31">
        <v>13.17</v>
      </c>
      <c r="D40" s="31">
        <v>0.66</v>
      </c>
      <c r="E40" s="32">
        <f t="shared" si="0"/>
        <v>8.6921999999999997</v>
      </c>
      <c r="F40" s="28">
        <f t="shared" si="1"/>
        <v>19.954545454545453</v>
      </c>
    </row>
    <row r="41" spans="1:6" x14ac:dyDescent="0.2">
      <c r="A41" s="30">
        <v>17</v>
      </c>
      <c r="B41" s="27">
        <v>24</v>
      </c>
      <c r="C41" s="31">
        <v>15.86</v>
      </c>
      <c r="D41" s="31">
        <v>0.66</v>
      </c>
      <c r="E41" s="32">
        <f t="shared" si="0"/>
        <v>10.467600000000001</v>
      </c>
      <c r="F41" s="28">
        <f t="shared" si="1"/>
        <v>24.030303030303028</v>
      </c>
    </row>
    <row r="42" spans="1:6" x14ac:dyDescent="0.2">
      <c r="A42" s="30">
        <v>18</v>
      </c>
      <c r="B42" s="27">
        <v>28</v>
      </c>
      <c r="C42" s="31">
        <v>18.23</v>
      </c>
      <c r="D42" s="31">
        <v>0.65</v>
      </c>
      <c r="E42" s="32">
        <f t="shared" si="0"/>
        <v>11.849500000000001</v>
      </c>
      <c r="F42" s="28">
        <f t="shared" si="1"/>
        <v>28.046153846153846</v>
      </c>
    </row>
    <row r="43" spans="1:6" x14ac:dyDescent="0.2">
      <c r="A43" s="30">
        <v>19</v>
      </c>
      <c r="B43" s="27">
        <v>33</v>
      </c>
      <c r="C43" s="31">
        <v>18.95</v>
      </c>
      <c r="D43" s="31">
        <v>0.56999999999999995</v>
      </c>
      <c r="E43" s="32">
        <f t="shared" si="0"/>
        <v>10.801499999999999</v>
      </c>
      <c r="F43" s="28">
        <f t="shared" si="1"/>
        <v>33.245614035087719</v>
      </c>
    </row>
    <row r="44" spans="1:6" x14ac:dyDescent="0.2">
      <c r="A44" s="30">
        <v>20</v>
      </c>
      <c r="B44" s="27">
        <v>40</v>
      </c>
      <c r="C44" s="31">
        <v>19.46</v>
      </c>
      <c r="D44" s="31">
        <v>0.49</v>
      </c>
      <c r="E44" s="32">
        <f t="shared" si="0"/>
        <v>9.535400000000001</v>
      </c>
      <c r="F44" s="28">
        <f t="shared" si="1"/>
        <v>39.714285714285715</v>
      </c>
    </row>
    <row r="45" spans="1:6" x14ac:dyDescent="0.2">
      <c r="A45" s="30">
        <v>21</v>
      </c>
      <c r="B45" s="27">
        <v>50</v>
      </c>
      <c r="C45" s="31">
        <v>19.850000000000001</v>
      </c>
      <c r="D45" s="31">
        <v>0.4</v>
      </c>
      <c r="E45" s="32">
        <f t="shared" si="0"/>
        <v>7.9400000000000013</v>
      </c>
      <c r="F45" s="28">
        <f t="shared" si="1"/>
        <v>49.625</v>
      </c>
    </row>
    <row r="46" spans="1:6" x14ac:dyDescent="0.2">
      <c r="A46" s="30">
        <v>22</v>
      </c>
      <c r="B46" s="27">
        <v>70</v>
      </c>
      <c r="C46" s="31">
        <v>20.22</v>
      </c>
      <c r="D46" s="31">
        <v>0.28999999999999998</v>
      </c>
      <c r="E46" s="32">
        <f t="shared" si="0"/>
        <v>5.8637999999999995</v>
      </c>
      <c r="F46" s="28">
        <f t="shared" si="1"/>
        <v>69.724137931034477</v>
      </c>
    </row>
    <row r="47" spans="1:6" x14ac:dyDescent="0.2">
      <c r="A47" s="30">
        <v>23</v>
      </c>
      <c r="B47" s="27">
        <v>110</v>
      </c>
      <c r="C47" s="31">
        <v>20.51</v>
      </c>
      <c r="D47" s="31">
        <v>0.19</v>
      </c>
      <c r="E47" s="32">
        <f t="shared" si="0"/>
        <v>3.8969000000000005</v>
      </c>
      <c r="F47" s="28">
        <f t="shared" si="1"/>
        <v>107.94736842105264</v>
      </c>
    </row>
    <row r="48" spans="1:6" x14ac:dyDescent="0.2">
      <c r="A48" s="30">
        <v>24</v>
      </c>
      <c r="B48" s="27">
        <v>200</v>
      </c>
      <c r="C48" s="31">
        <v>20.71</v>
      </c>
      <c r="D48" s="31">
        <v>0.1</v>
      </c>
      <c r="E48" s="32">
        <f t="shared" si="0"/>
        <v>2.0710000000000002</v>
      </c>
      <c r="F48" s="28">
        <f t="shared" si="1"/>
        <v>207.1</v>
      </c>
    </row>
    <row r="49" spans="1:21" x14ac:dyDescent="0.2">
      <c r="A49" s="30">
        <v>25</v>
      </c>
      <c r="B49" s="27">
        <v>400</v>
      </c>
      <c r="C49" s="31">
        <v>20.81</v>
      </c>
      <c r="D49" s="31">
        <v>0.05</v>
      </c>
      <c r="E49" s="32">
        <f t="shared" si="0"/>
        <v>1.0405</v>
      </c>
      <c r="F49" s="28">
        <f t="shared" si="1"/>
        <v>416.19999999999993</v>
      </c>
    </row>
    <row r="50" spans="1:21" ht="16" x14ac:dyDescent="0.2">
      <c r="A50" s="30">
        <v>26</v>
      </c>
      <c r="B50" s="27" t="s">
        <v>54</v>
      </c>
      <c r="C50" s="31">
        <v>20.93</v>
      </c>
      <c r="D50" s="31">
        <v>0</v>
      </c>
      <c r="E50" s="32">
        <f t="shared" si="0"/>
        <v>0</v>
      </c>
      <c r="F50" s="28" t="str">
        <f t="shared" si="1"/>
        <v>-</v>
      </c>
    </row>
    <row r="52" spans="1:21" x14ac:dyDescent="0.2">
      <c r="A52" s="81" t="s">
        <v>55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4" spans="1:2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spans="1:2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spans="1:21" ht="90" x14ac:dyDescent="0.2">
      <c r="A56" s="20" t="s">
        <v>0</v>
      </c>
      <c r="B56" s="74">
        <v>46274</v>
      </c>
      <c r="C56" s="36"/>
      <c r="D56" s="20" t="s">
        <v>1</v>
      </c>
      <c r="E56" s="75">
        <v>0.625</v>
      </c>
      <c r="F56" s="36"/>
      <c r="G56" s="36"/>
      <c r="H56" s="23" t="s">
        <v>2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</row>
    <row r="57" spans="1:2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</row>
    <row r="58" spans="1:21" x14ac:dyDescent="0.2">
      <c r="A58" s="78" t="s">
        <v>3</v>
      </c>
      <c r="B58" s="80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</row>
    <row r="59" spans="1:21" ht="48" x14ac:dyDescent="0.2">
      <c r="A59" s="56" t="s">
        <v>4</v>
      </c>
      <c r="B59" s="82" t="s">
        <v>56</v>
      </c>
      <c r="C59" s="83"/>
      <c r="D59" s="84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</row>
    <row r="60" spans="1:21" ht="48" x14ac:dyDescent="0.2">
      <c r="A60" s="56" t="s">
        <v>5</v>
      </c>
      <c r="B60" s="82" t="s">
        <v>6</v>
      </c>
      <c r="C60" s="83"/>
      <c r="D60" s="84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spans="1:21" ht="48" x14ac:dyDescent="0.2">
      <c r="A61" s="56" t="s">
        <v>7</v>
      </c>
      <c r="B61" s="82" t="s">
        <v>8</v>
      </c>
      <c r="C61" s="83"/>
      <c r="D61" s="84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spans="1:21" ht="48" x14ac:dyDescent="0.2">
      <c r="A62" s="56" t="s">
        <v>9</v>
      </c>
      <c r="B62" s="82" t="s">
        <v>57</v>
      </c>
      <c r="C62" s="83"/>
      <c r="D62" s="84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</row>
    <row r="63" spans="1:2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</row>
    <row r="64" spans="1:21" x14ac:dyDescent="0.2">
      <c r="A64" s="78" t="s">
        <v>11</v>
      </c>
      <c r="B64" s="79"/>
      <c r="C64" s="79"/>
      <c r="D64" s="80"/>
      <c r="E64" s="36"/>
      <c r="F64" s="36"/>
      <c r="G64" s="36"/>
      <c r="H64" s="36"/>
      <c r="I64" s="78" t="s">
        <v>12</v>
      </c>
      <c r="J64" s="79"/>
      <c r="K64" s="79"/>
      <c r="L64" s="80"/>
      <c r="M64" s="36"/>
      <c r="N64" s="36"/>
      <c r="O64" s="36"/>
      <c r="P64" s="36"/>
      <c r="Q64" s="36"/>
      <c r="R64" s="36"/>
      <c r="S64" s="36"/>
      <c r="T64" s="36"/>
      <c r="U64" s="36"/>
    </row>
    <row r="65" spans="1:21" ht="16" x14ac:dyDescent="0.2">
      <c r="A65" s="57" t="s">
        <v>13</v>
      </c>
      <c r="B65" s="58" t="s">
        <v>14</v>
      </c>
      <c r="C65" s="58" t="s">
        <v>15</v>
      </c>
      <c r="D65" s="58" t="s">
        <v>16</v>
      </c>
      <c r="E65" s="36"/>
      <c r="F65" s="25" t="s">
        <v>17</v>
      </c>
      <c r="G65" s="59" t="s">
        <v>18</v>
      </c>
      <c r="H65" s="36"/>
      <c r="I65" s="57" t="s">
        <v>13</v>
      </c>
      <c r="J65" s="58" t="s">
        <v>14</v>
      </c>
      <c r="K65" s="58" t="s">
        <v>15</v>
      </c>
      <c r="L65" s="58" t="s">
        <v>16</v>
      </c>
      <c r="M65" s="36"/>
      <c r="N65" s="25" t="s">
        <v>17</v>
      </c>
      <c r="O65" s="59" t="s">
        <v>18</v>
      </c>
      <c r="P65" s="36"/>
      <c r="Q65" s="36"/>
      <c r="R65" s="36"/>
      <c r="S65" s="36"/>
      <c r="T65" s="36"/>
      <c r="U65" s="36"/>
    </row>
    <row r="66" spans="1:21" ht="16" x14ac:dyDescent="0.2">
      <c r="A66" s="60" t="s">
        <v>19</v>
      </c>
      <c r="B66" s="61">
        <v>56.8</v>
      </c>
      <c r="C66" s="61">
        <v>60.7</v>
      </c>
      <c r="D66" s="61">
        <v>61.1</v>
      </c>
      <c r="E66" s="36"/>
      <c r="F66" s="62" t="s">
        <v>20</v>
      </c>
      <c r="G66" s="63">
        <f>IFERROR(AVERAGE(B66:D68),"-")</f>
        <v>59.63333333333334</v>
      </c>
      <c r="H66" s="36"/>
      <c r="I66" s="60" t="s">
        <v>19</v>
      </c>
      <c r="J66" s="61">
        <v>604.4</v>
      </c>
      <c r="K66" s="61">
        <v>792.2</v>
      </c>
      <c r="L66" s="61">
        <v>712.3</v>
      </c>
      <c r="M66" s="36"/>
      <c r="N66" s="62" t="s">
        <v>20</v>
      </c>
      <c r="O66" s="63">
        <f>IFERROR(AVERAGE(J66:L68),"-")</f>
        <v>716.86666666666645</v>
      </c>
      <c r="P66" s="36"/>
      <c r="Q66" s="36"/>
      <c r="R66" s="36"/>
      <c r="S66" s="36"/>
      <c r="T66" s="36"/>
      <c r="U66" s="36"/>
    </row>
    <row r="67" spans="1:21" ht="16" x14ac:dyDescent="0.2">
      <c r="A67" s="60" t="s">
        <v>21</v>
      </c>
      <c r="B67" s="64">
        <v>58.3</v>
      </c>
      <c r="C67" s="64">
        <v>62.5</v>
      </c>
      <c r="D67" s="64">
        <v>61.6</v>
      </c>
      <c r="E67" s="36"/>
      <c r="F67" s="62" t="s">
        <v>22</v>
      </c>
      <c r="G67" s="63">
        <f>IFERROR(MIN(B66:D68),"-")</f>
        <v>56.8</v>
      </c>
      <c r="H67" s="36"/>
      <c r="I67" s="60" t="s">
        <v>21</v>
      </c>
      <c r="J67" s="64">
        <v>697.5</v>
      </c>
      <c r="K67" s="64">
        <v>813.2</v>
      </c>
      <c r="L67" s="64">
        <v>744.4</v>
      </c>
      <c r="M67" s="36"/>
      <c r="N67" s="62" t="s">
        <v>22</v>
      </c>
      <c r="O67" s="63">
        <f>IFERROR(MIN(J66:L68),"-")</f>
        <v>604.4</v>
      </c>
      <c r="P67" s="36"/>
      <c r="Q67" s="36"/>
      <c r="R67" s="36"/>
      <c r="S67" s="36"/>
      <c r="T67" s="36"/>
      <c r="U67" s="36"/>
    </row>
    <row r="68" spans="1:21" ht="16" x14ac:dyDescent="0.2">
      <c r="A68" s="60" t="s">
        <v>23</v>
      </c>
      <c r="B68" s="64">
        <v>57</v>
      </c>
      <c r="C68" s="64">
        <v>61.3</v>
      </c>
      <c r="D68" s="64">
        <v>57.4</v>
      </c>
      <c r="E68" s="36"/>
      <c r="F68" s="62" t="s">
        <v>24</v>
      </c>
      <c r="G68" s="63">
        <f>IFERROR(MAX(B66:D68),"-")</f>
        <v>62.5</v>
      </c>
      <c r="H68" s="36"/>
      <c r="I68" s="60" t="s">
        <v>23</v>
      </c>
      <c r="J68" s="64">
        <v>659.9</v>
      </c>
      <c r="K68" s="64">
        <v>768.9</v>
      </c>
      <c r="L68" s="64">
        <v>659</v>
      </c>
      <c r="M68" s="36"/>
      <c r="N68" s="62" t="s">
        <v>24</v>
      </c>
      <c r="O68" s="63">
        <f>IFERROR(MAX(J66:L68),"-")</f>
        <v>813.2</v>
      </c>
      <c r="P68" s="36"/>
      <c r="Q68" s="36"/>
      <c r="R68" s="36"/>
      <c r="S68" s="36"/>
      <c r="T68" s="36"/>
      <c r="U68" s="36"/>
    </row>
    <row r="69" spans="1:21" x14ac:dyDescent="0.2">
      <c r="A69" s="36"/>
      <c r="B69" s="36"/>
      <c r="C69" s="36"/>
      <c r="D69" s="36"/>
      <c r="E69" s="36"/>
      <c r="F69" s="62" t="s">
        <v>25</v>
      </c>
      <c r="G69" s="63">
        <f>IFERROR(G68-G67,"-")</f>
        <v>5.7000000000000028</v>
      </c>
      <c r="H69" s="36"/>
      <c r="I69" s="36"/>
      <c r="J69" s="36"/>
      <c r="K69" s="36"/>
      <c r="L69" s="36"/>
      <c r="M69" s="36"/>
      <c r="N69" s="62" t="s">
        <v>25</v>
      </c>
      <c r="O69" s="63">
        <f>IFERROR(O68-O67,"-")</f>
        <v>208.80000000000007</v>
      </c>
      <c r="P69" s="36"/>
      <c r="Q69" s="36"/>
      <c r="R69" s="36"/>
      <c r="S69" s="36"/>
      <c r="T69" s="36"/>
      <c r="U69" s="36"/>
    </row>
    <row r="70" spans="1:21" x14ac:dyDescent="0.2">
      <c r="A70" s="36"/>
      <c r="B70" s="36"/>
      <c r="C70" s="36"/>
      <c r="D70" s="36"/>
      <c r="E70" s="36"/>
      <c r="F70" s="62" t="s">
        <v>26</v>
      </c>
      <c r="G70" s="63">
        <f>IFERROR(STDEV(B66:D68),"-")</f>
        <v>2.2327113561766114</v>
      </c>
      <c r="H70" s="36"/>
      <c r="I70" s="36"/>
      <c r="J70" s="36"/>
      <c r="K70" s="36"/>
      <c r="L70" s="36"/>
      <c r="M70" s="36"/>
      <c r="N70" s="62" t="s">
        <v>26</v>
      </c>
      <c r="O70" s="63">
        <f>IFERROR(STDEV(J66:L68),"-")</f>
        <v>68.97390811024124</v>
      </c>
      <c r="P70" s="36"/>
      <c r="Q70" s="36"/>
      <c r="R70" s="36"/>
      <c r="S70" s="36"/>
      <c r="T70" s="36"/>
      <c r="U70" s="36"/>
    </row>
    <row r="71" spans="1:2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62" t="s">
        <v>27</v>
      </c>
      <c r="O71" s="63">
        <f>IFERROR((1-((O68-O67)/(2*O66)))*100,"-")</f>
        <v>85.436622337952201</v>
      </c>
      <c r="P71" s="36"/>
      <c r="Q71" s="36"/>
      <c r="R71" s="36"/>
      <c r="S71" s="36"/>
      <c r="T71" s="36"/>
      <c r="U71" s="36"/>
    </row>
    <row r="72" spans="1:2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x14ac:dyDescent="0.2">
      <c r="A73" s="78" t="s">
        <v>28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80"/>
      <c r="P73" s="36"/>
      <c r="Q73" s="36"/>
      <c r="R73" s="36"/>
      <c r="S73" s="36"/>
      <c r="T73" s="36"/>
      <c r="U73" s="36"/>
    </row>
    <row r="74" spans="1:21" x14ac:dyDescent="0.2">
      <c r="A74" s="62" t="s">
        <v>29</v>
      </c>
      <c r="B74" s="61">
        <v>38.4</v>
      </c>
      <c r="C74" s="36"/>
      <c r="D74" s="62" t="s">
        <v>30</v>
      </c>
      <c r="E74" s="61">
        <v>24.9</v>
      </c>
      <c r="F74" s="36"/>
      <c r="G74" s="62" t="s">
        <v>31</v>
      </c>
      <c r="H74" s="61">
        <v>0.67708333333333337</v>
      </c>
      <c r="I74" s="36"/>
      <c r="J74" s="36"/>
      <c r="K74" s="62" t="s">
        <v>33</v>
      </c>
      <c r="L74" s="61">
        <v>0.6875</v>
      </c>
      <c r="M74" s="36"/>
      <c r="N74" s="36"/>
      <c r="O74" s="36"/>
      <c r="P74" s="36"/>
      <c r="Q74" s="36"/>
      <c r="R74" s="36"/>
      <c r="S74" s="36"/>
      <c r="T74" s="36"/>
      <c r="U74" s="36"/>
    </row>
    <row r="75" spans="1:2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x14ac:dyDescent="0.2">
      <c r="A76" s="78" t="s">
        <v>35</v>
      </c>
      <c r="B76" s="79"/>
      <c r="C76" s="79"/>
      <c r="D76" s="79"/>
      <c r="E76" s="79"/>
      <c r="F76" s="80"/>
      <c r="G76" s="36"/>
      <c r="H76" s="78" t="s">
        <v>36</v>
      </c>
      <c r="I76" s="8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32" x14ac:dyDescent="0.2">
      <c r="A77" s="57" t="s">
        <v>37</v>
      </c>
      <c r="B77" s="58" t="s">
        <v>38</v>
      </c>
      <c r="C77" s="58" t="s">
        <v>39</v>
      </c>
      <c r="D77" s="58" t="s">
        <v>40</v>
      </c>
      <c r="E77" s="58" t="s">
        <v>41</v>
      </c>
      <c r="F77" s="58" t="s">
        <v>42</v>
      </c>
      <c r="G77" s="36"/>
      <c r="H77" s="36"/>
      <c r="I77" s="36"/>
      <c r="J77" s="36"/>
      <c r="K77" s="49" t="s">
        <v>43</v>
      </c>
      <c r="L77" s="49" t="s">
        <v>44</v>
      </c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6" x14ac:dyDescent="0.2">
      <c r="A78" s="65">
        <v>1</v>
      </c>
      <c r="B78" s="61">
        <v>2</v>
      </c>
      <c r="C78" s="66">
        <v>3.2</v>
      </c>
      <c r="D78" s="66">
        <v>1.62</v>
      </c>
      <c r="E78" s="67">
        <f t="shared" ref="E78:E103" si="2">IF(OR(C78="",D78=""),"-",C78*D78)</f>
        <v>5.1840000000000011</v>
      </c>
      <c r="F78" s="63">
        <f t="shared" ref="F78:F103" si="3">IFERROR(C78/D78,"-")</f>
        <v>1.9753086419753085</v>
      </c>
      <c r="G78" s="36"/>
      <c r="H78" s="24" t="s">
        <v>45</v>
      </c>
      <c r="I78" s="68">
        <f>IFERROR(INDEX(C78:C103,MATCH("open",B78:B103,0)),"-")</f>
        <v>20.97</v>
      </c>
      <c r="J78" s="36"/>
      <c r="K78" s="69">
        <f>IF(ISNUMBER(I79),0,NA())</f>
        <v>0</v>
      </c>
      <c r="L78" s="70">
        <f>IF(ISNUMBER(I79),MIN(I79,$L$22),NA())</f>
        <v>1.639277108433735</v>
      </c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32" x14ac:dyDescent="0.2">
      <c r="A79" s="65">
        <v>2</v>
      </c>
      <c r="B79" s="61">
        <v>3</v>
      </c>
      <c r="C79" s="66">
        <v>4.8600000000000003</v>
      </c>
      <c r="D79" s="66">
        <v>1.61</v>
      </c>
      <c r="E79" s="67">
        <f t="shared" si="2"/>
        <v>7.8246000000000011</v>
      </c>
      <c r="F79" s="63">
        <f t="shared" si="3"/>
        <v>3.018633540372671</v>
      </c>
      <c r="G79" s="36"/>
      <c r="H79" s="56" t="s">
        <v>46</v>
      </c>
      <c r="I79" s="71">
        <f>IFERROR(D78-C78*(D79-D78)/(C79-C78),"-")</f>
        <v>1.639277108433735</v>
      </c>
      <c r="J79" s="36"/>
      <c r="K79" s="69">
        <f>IF(ISNUMBER(C78),C78,NA())</f>
        <v>3.2</v>
      </c>
      <c r="L79" s="70">
        <f>IF(ISNUMBER(D78),D78,NA())</f>
        <v>1.62</v>
      </c>
      <c r="M79" s="36"/>
      <c r="N79" s="36"/>
      <c r="O79" s="36"/>
      <c r="P79" s="36"/>
      <c r="Q79" s="36"/>
      <c r="R79" s="36"/>
      <c r="S79" s="36"/>
      <c r="T79" s="36"/>
      <c r="U79" s="36"/>
    </row>
    <row r="80" spans="1:21" ht="16" x14ac:dyDescent="0.2">
      <c r="A80" s="65">
        <v>3</v>
      </c>
      <c r="B80" s="61">
        <v>4</v>
      </c>
      <c r="C80" s="66">
        <v>6.44</v>
      </c>
      <c r="D80" s="66">
        <v>1.61</v>
      </c>
      <c r="E80" s="67">
        <f t="shared" si="2"/>
        <v>10.368400000000001</v>
      </c>
      <c r="F80" s="63">
        <f t="shared" si="3"/>
        <v>4</v>
      </c>
      <c r="G80" s="36"/>
      <c r="H80" s="56" t="s">
        <v>47</v>
      </c>
      <c r="I80" s="71">
        <f>IFERROR(MAX(E78:E103),"-")</f>
        <v>27.476200000000002</v>
      </c>
      <c r="J80" s="36"/>
      <c r="K80" s="36" t="s">
        <v>48</v>
      </c>
      <c r="L80" s="36" t="str">
        <f>IF(NOT(ISNUMBER(I79)),"",IF(I79&gt;$L$22,"Yes","No"))</f>
        <v>Yes</v>
      </c>
      <c r="M80" s="36"/>
      <c r="N80" s="36"/>
      <c r="O80" s="36"/>
      <c r="P80" s="36"/>
      <c r="Q80" s="36"/>
      <c r="R80" s="36"/>
      <c r="S80" s="36"/>
      <c r="T80" s="36"/>
      <c r="U80" s="36"/>
    </row>
    <row r="81" spans="1:21" ht="16" x14ac:dyDescent="0.2">
      <c r="A81" s="65">
        <v>4</v>
      </c>
      <c r="B81" s="61">
        <v>5</v>
      </c>
      <c r="C81" s="66">
        <v>8</v>
      </c>
      <c r="D81" s="66">
        <v>1.6</v>
      </c>
      <c r="E81" s="67">
        <f t="shared" si="2"/>
        <v>12.8</v>
      </c>
      <c r="F81" s="63">
        <f t="shared" si="3"/>
        <v>5</v>
      </c>
      <c r="G81" s="36"/>
      <c r="H81" s="56" t="s">
        <v>49</v>
      </c>
      <c r="I81" s="67">
        <f>IFERROR(INDEX(C78:C103,MATCH(I80,E78:E103,0)),"-")</f>
        <v>17.39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6" x14ac:dyDescent="0.2">
      <c r="A82" s="65">
        <v>5</v>
      </c>
      <c r="B82" s="61">
        <v>6</v>
      </c>
      <c r="C82" s="66">
        <v>9.57</v>
      </c>
      <c r="D82" s="66">
        <v>1.59</v>
      </c>
      <c r="E82" s="67">
        <f t="shared" si="2"/>
        <v>15.2163</v>
      </c>
      <c r="F82" s="63">
        <f t="shared" si="3"/>
        <v>6.0188679245283021</v>
      </c>
      <c r="G82" s="36"/>
      <c r="H82" s="56" t="s">
        <v>50</v>
      </c>
      <c r="I82" s="67">
        <f>IFERROR(INDEX(D78:D103,MATCH(I80,E78:E103,0)),"-")</f>
        <v>1.58</v>
      </c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6" x14ac:dyDescent="0.2">
      <c r="A83" s="65">
        <v>6</v>
      </c>
      <c r="B83" s="61">
        <v>7</v>
      </c>
      <c r="C83" s="66">
        <v>11.13</v>
      </c>
      <c r="D83" s="66">
        <v>1.59</v>
      </c>
      <c r="E83" s="67">
        <f t="shared" si="2"/>
        <v>17.696700000000003</v>
      </c>
      <c r="F83" s="63">
        <f t="shared" si="3"/>
        <v>7</v>
      </c>
      <c r="G83" s="36"/>
      <c r="H83" s="56" t="s">
        <v>51</v>
      </c>
      <c r="I83" s="72">
        <f>IFERROR(I81/I82,"-")</f>
        <v>11.00632911392405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6" x14ac:dyDescent="0.2">
      <c r="A84" s="65">
        <v>7</v>
      </c>
      <c r="B84" s="61">
        <v>8</v>
      </c>
      <c r="C84" s="66">
        <v>12.65</v>
      </c>
      <c r="D84" s="66">
        <v>1.58</v>
      </c>
      <c r="E84" s="67">
        <f t="shared" si="2"/>
        <v>19.987000000000002</v>
      </c>
      <c r="F84" s="63">
        <f t="shared" si="3"/>
        <v>8.0063291139240498</v>
      </c>
      <c r="G84" s="36"/>
      <c r="H84" s="56" t="s">
        <v>52</v>
      </c>
      <c r="I84" s="72">
        <f>IFERROR(I80/(I78*I79),"-")</f>
        <v>0.79929273257450251</v>
      </c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32" x14ac:dyDescent="0.2">
      <c r="A85" s="65">
        <v>8</v>
      </c>
      <c r="B85" s="61">
        <v>9</v>
      </c>
      <c r="C85" s="66">
        <v>14.21</v>
      </c>
      <c r="D85" s="66">
        <v>1.58</v>
      </c>
      <c r="E85" s="67">
        <f t="shared" si="2"/>
        <v>22.451800000000002</v>
      </c>
      <c r="F85" s="63">
        <f t="shared" si="3"/>
        <v>8.9936708860759502</v>
      </c>
      <c r="G85" s="36"/>
      <c r="H85" s="56" t="s">
        <v>53</v>
      </c>
      <c r="I85" s="73">
        <f>COUNT(D78:D103)</f>
        <v>26</v>
      </c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 x14ac:dyDescent="0.2">
      <c r="A86" s="65">
        <v>9</v>
      </c>
      <c r="B86" s="61">
        <v>10</v>
      </c>
      <c r="C86" s="66">
        <v>15.87</v>
      </c>
      <c r="D86" s="66">
        <v>1.59</v>
      </c>
      <c r="E86" s="67">
        <f t="shared" si="2"/>
        <v>25.2333</v>
      </c>
      <c r="F86" s="63">
        <f t="shared" si="3"/>
        <v>9.981132075471697</v>
      </c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x14ac:dyDescent="0.2">
      <c r="A87" s="65">
        <v>10</v>
      </c>
      <c r="B87" s="61">
        <v>11</v>
      </c>
      <c r="C87" s="66">
        <v>17.39</v>
      </c>
      <c r="D87" s="66">
        <v>1.58</v>
      </c>
      <c r="E87" s="67">
        <f t="shared" si="2"/>
        <v>27.476200000000002</v>
      </c>
      <c r="F87" s="63">
        <f t="shared" si="3"/>
        <v>11.00632911392405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x14ac:dyDescent="0.2">
      <c r="A88" s="65">
        <v>11</v>
      </c>
      <c r="B88" s="61">
        <v>12</v>
      </c>
      <c r="C88" s="66">
        <v>18</v>
      </c>
      <c r="D88" s="66">
        <v>1.5</v>
      </c>
      <c r="E88" s="67">
        <f t="shared" si="2"/>
        <v>27</v>
      </c>
      <c r="F88" s="63">
        <f t="shared" si="3"/>
        <v>12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x14ac:dyDescent="0.2">
      <c r="A89" s="65">
        <v>12</v>
      </c>
      <c r="B89" s="61">
        <v>13</v>
      </c>
      <c r="C89" s="66">
        <v>18.399999999999999</v>
      </c>
      <c r="D89" s="66">
        <v>1.42</v>
      </c>
      <c r="E89" s="67">
        <f t="shared" si="2"/>
        <v>26.127999999999997</v>
      </c>
      <c r="F89" s="63">
        <f t="shared" si="3"/>
        <v>12.95774647887324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x14ac:dyDescent="0.2">
      <c r="A90" s="65">
        <v>13</v>
      </c>
      <c r="B90" s="61">
        <v>14</v>
      </c>
      <c r="C90" s="66">
        <v>18.690000000000001</v>
      </c>
      <c r="D90" s="66">
        <v>1.34</v>
      </c>
      <c r="E90" s="67">
        <f t="shared" si="2"/>
        <v>25.044600000000003</v>
      </c>
      <c r="F90" s="63">
        <f t="shared" si="3"/>
        <v>13.947761194029852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 x14ac:dyDescent="0.2">
      <c r="A91" s="65">
        <v>14</v>
      </c>
      <c r="B91" s="61">
        <v>16</v>
      </c>
      <c r="C91" s="66">
        <v>19.09</v>
      </c>
      <c r="D91" s="66">
        <v>1.19</v>
      </c>
      <c r="E91" s="67">
        <f t="shared" si="2"/>
        <v>22.717099999999999</v>
      </c>
      <c r="F91" s="63">
        <f t="shared" si="3"/>
        <v>16.042016806722689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x14ac:dyDescent="0.2">
      <c r="A92" s="65">
        <v>15</v>
      </c>
      <c r="B92" s="61">
        <v>18</v>
      </c>
      <c r="C92" s="66">
        <v>19.37</v>
      </c>
      <c r="D92" s="66">
        <v>1.08</v>
      </c>
      <c r="E92" s="67">
        <f t="shared" si="2"/>
        <v>20.919600000000003</v>
      </c>
      <c r="F92" s="63">
        <f t="shared" si="3"/>
        <v>17.935185185185183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x14ac:dyDescent="0.2">
      <c r="A93" s="65">
        <v>16</v>
      </c>
      <c r="B93" s="61">
        <v>20</v>
      </c>
      <c r="C93" s="66">
        <v>19.57</v>
      </c>
      <c r="D93" s="66">
        <v>0.98</v>
      </c>
      <c r="E93" s="67">
        <f t="shared" si="2"/>
        <v>19.178599999999999</v>
      </c>
      <c r="F93" s="63">
        <f t="shared" si="3"/>
        <v>19.969387755102041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x14ac:dyDescent="0.2">
      <c r="A94" s="65">
        <v>17</v>
      </c>
      <c r="B94" s="61">
        <v>24</v>
      </c>
      <c r="C94" s="66">
        <v>19.84</v>
      </c>
      <c r="D94" s="66">
        <v>0.83</v>
      </c>
      <c r="E94" s="67">
        <f t="shared" si="2"/>
        <v>16.467199999999998</v>
      </c>
      <c r="F94" s="63">
        <f t="shared" si="3"/>
        <v>23.903614457831328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 x14ac:dyDescent="0.2">
      <c r="A95" s="65">
        <v>18</v>
      </c>
      <c r="B95" s="61">
        <v>28</v>
      </c>
      <c r="C95" s="66">
        <v>20.03</v>
      </c>
      <c r="D95" s="66">
        <v>0.72</v>
      </c>
      <c r="E95" s="67">
        <f t="shared" si="2"/>
        <v>14.4216</v>
      </c>
      <c r="F95" s="63">
        <f t="shared" si="3"/>
        <v>27.819444444444446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 x14ac:dyDescent="0.2">
      <c r="A96" s="65">
        <v>19</v>
      </c>
      <c r="B96" s="61">
        <v>33</v>
      </c>
      <c r="C96" s="66">
        <v>20.190000000000001</v>
      </c>
      <c r="D96" s="66">
        <v>0.61</v>
      </c>
      <c r="E96" s="67">
        <f t="shared" si="2"/>
        <v>12.315900000000001</v>
      </c>
      <c r="F96" s="63">
        <f t="shared" si="3"/>
        <v>33.098360655737707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 x14ac:dyDescent="0.2">
      <c r="A97" s="65">
        <v>20</v>
      </c>
      <c r="B97" s="61">
        <v>40</v>
      </c>
      <c r="C97" s="66">
        <v>20.34</v>
      </c>
      <c r="D97" s="66">
        <v>0.51</v>
      </c>
      <c r="E97" s="67">
        <f t="shared" si="2"/>
        <v>10.3734</v>
      </c>
      <c r="F97" s="63">
        <f t="shared" si="3"/>
        <v>39.882352941176471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 x14ac:dyDescent="0.2">
      <c r="A98" s="65">
        <v>21</v>
      </c>
      <c r="B98" s="61">
        <v>50</v>
      </c>
      <c r="C98" s="66">
        <v>20.57</v>
      </c>
      <c r="D98" s="66">
        <v>0.41</v>
      </c>
      <c r="E98" s="67">
        <f t="shared" si="2"/>
        <v>8.4337</v>
      </c>
      <c r="F98" s="63">
        <f t="shared" si="3"/>
        <v>50.170731707317074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 x14ac:dyDescent="0.2">
      <c r="A99" s="65">
        <v>22</v>
      </c>
      <c r="B99" s="61">
        <v>70</v>
      </c>
      <c r="C99" s="66">
        <v>20.68</v>
      </c>
      <c r="D99" s="66">
        <v>0.3</v>
      </c>
      <c r="E99" s="67">
        <f t="shared" si="2"/>
        <v>6.2039999999999997</v>
      </c>
      <c r="F99" s="63">
        <f t="shared" si="3"/>
        <v>68.933333333333337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 x14ac:dyDescent="0.2">
      <c r="A100" s="65">
        <v>23</v>
      </c>
      <c r="B100" s="61">
        <v>110</v>
      </c>
      <c r="C100" s="66">
        <v>20.75</v>
      </c>
      <c r="D100" s="66">
        <v>0.1</v>
      </c>
      <c r="E100" s="67">
        <f t="shared" si="2"/>
        <v>2.0750000000000002</v>
      </c>
      <c r="F100" s="63">
        <f t="shared" si="3"/>
        <v>207.5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 x14ac:dyDescent="0.2">
      <c r="A101" s="65">
        <v>24</v>
      </c>
      <c r="B101" s="61">
        <v>200</v>
      </c>
      <c r="C101" s="66">
        <v>20.85</v>
      </c>
      <c r="D101" s="66">
        <v>0.1</v>
      </c>
      <c r="E101" s="67">
        <f t="shared" si="2"/>
        <v>2.0850000000000004</v>
      </c>
      <c r="F101" s="63">
        <f t="shared" si="3"/>
        <v>208.5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 x14ac:dyDescent="0.2">
      <c r="A102" s="65">
        <v>25</v>
      </c>
      <c r="B102" s="61">
        <v>400</v>
      </c>
      <c r="C102" s="66">
        <v>20.91</v>
      </c>
      <c r="D102" s="66">
        <v>0.05</v>
      </c>
      <c r="E102" s="67">
        <f t="shared" si="2"/>
        <v>1.0455000000000001</v>
      </c>
      <c r="F102" s="63">
        <f t="shared" si="3"/>
        <v>418.2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 ht="16" x14ac:dyDescent="0.2">
      <c r="A103" s="65">
        <v>26</v>
      </c>
      <c r="B103" s="61" t="s">
        <v>54</v>
      </c>
      <c r="C103" s="66">
        <v>20.97</v>
      </c>
      <c r="D103" s="66">
        <v>0</v>
      </c>
      <c r="E103" s="67">
        <f t="shared" si="2"/>
        <v>0</v>
      </c>
      <c r="F103" s="63" t="str">
        <f t="shared" si="3"/>
        <v>-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 x14ac:dyDescent="0.2">
      <c r="A105" s="81" t="s">
        <v>55</v>
      </c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36"/>
      <c r="Q105" s="36"/>
      <c r="R105" s="36"/>
      <c r="S105" s="36"/>
      <c r="T105" s="36"/>
      <c r="U105" s="36"/>
    </row>
    <row r="106" spans="1:2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</row>
    <row r="107" spans="1:21" ht="14.7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</row>
    <row r="108" spans="1:21" ht="14.7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</row>
    <row r="109" spans="1:21" ht="83" customHeight="1" x14ac:dyDescent="0.2">
      <c r="A109" s="20" t="s">
        <v>0</v>
      </c>
      <c r="B109" s="74">
        <v>46274</v>
      </c>
      <c r="C109" s="36"/>
      <c r="D109" s="20" t="s">
        <v>1</v>
      </c>
      <c r="E109" s="75">
        <v>0.63541666666666674</v>
      </c>
      <c r="F109" s="36"/>
      <c r="G109" s="36"/>
      <c r="H109" s="23" t="s">
        <v>2</v>
      </c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</row>
    <row r="110" spans="1:21" ht="14.7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spans="1:21" ht="14.75" customHeight="1" x14ac:dyDescent="0.2">
      <c r="A111" s="78" t="s">
        <v>3</v>
      </c>
      <c r="B111" s="80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spans="1:21" ht="43.25" customHeight="1" x14ac:dyDescent="0.2">
      <c r="A112" s="56" t="s">
        <v>4</v>
      </c>
      <c r="B112" s="82" t="s">
        <v>56</v>
      </c>
      <c r="C112" s="83"/>
      <c r="D112" s="84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spans="1:21" ht="43.25" customHeight="1" x14ac:dyDescent="0.2">
      <c r="A113" s="56" t="s">
        <v>5</v>
      </c>
      <c r="B113" s="82" t="s">
        <v>6</v>
      </c>
      <c r="C113" s="83"/>
      <c r="D113" s="84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</row>
    <row r="114" spans="1:21" ht="43.25" customHeight="1" x14ac:dyDescent="0.2">
      <c r="A114" s="56" t="s">
        <v>7</v>
      </c>
      <c r="B114" s="82" t="s">
        <v>8</v>
      </c>
      <c r="C114" s="83"/>
      <c r="D114" s="84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</row>
    <row r="115" spans="1:21" ht="43.25" customHeight="1" x14ac:dyDescent="0.2">
      <c r="A115" s="56" t="s">
        <v>9</v>
      </c>
      <c r="B115" s="82" t="s">
        <v>58</v>
      </c>
      <c r="C115" s="83"/>
      <c r="D115" s="84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</row>
    <row r="116" spans="1:21" ht="14.7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  <row r="117" spans="1:21" ht="14.75" customHeight="1" x14ac:dyDescent="0.2">
      <c r="A117" s="78" t="s">
        <v>11</v>
      </c>
      <c r="B117" s="79"/>
      <c r="C117" s="79"/>
      <c r="D117" s="80"/>
      <c r="E117" s="36"/>
      <c r="F117" s="36"/>
      <c r="G117" s="36"/>
      <c r="H117" s="36"/>
      <c r="I117" s="78" t="s">
        <v>12</v>
      </c>
      <c r="J117" s="79"/>
      <c r="K117" s="79"/>
      <c r="L117" s="80"/>
      <c r="M117" s="36"/>
      <c r="N117" s="36"/>
      <c r="O117" s="36"/>
      <c r="P117" s="36"/>
      <c r="Q117" s="36"/>
      <c r="R117" s="36"/>
      <c r="S117" s="36"/>
      <c r="T117" s="36"/>
      <c r="U117" s="36"/>
    </row>
    <row r="118" spans="1:21" ht="14.75" customHeight="1" x14ac:dyDescent="0.2">
      <c r="A118" s="57" t="s">
        <v>13</v>
      </c>
      <c r="B118" s="58" t="s">
        <v>14</v>
      </c>
      <c r="C118" s="58" t="s">
        <v>15</v>
      </c>
      <c r="D118" s="58" t="s">
        <v>16</v>
      </c>
      <c r="E118" s="36"/>
      <c r="F118" s="25" t="s">
        <v>17</v>
      </c>
      <c r="G118" s="59" t="s">
        <v>18</v>
      </c>
      <c r="H118" s="36"/>
      <c r="I118" s="57" t="s">
        <v>13</v>
      </c>
      <c r="J118" s="58" t="s">
        <v>14</v>
      </c>
      <c r="K118" s="58" t="s">
        <v>15</v>
      </c>
      <c r="L118" s="58" t="s">
        <v>16</v>
      </c>
      <c r="M118" s="36"/>
      <c r="N118" s="25" t="s">
        <v>17</v>
      </c>
      <c r="O118" s="59" t="s">
        <v>18</v>
      </c>
      <c r="P118" s="36"/>
      <c r="Q118" s="36"/>
      <c r="R118" s="36"/>
      <c r="S118" s="36"/>
      <c r="T118" s="36"/>
      <c r="U118" s="36"/>
    </row>
    <row r="119" spans="1:21" ht="14.75" customHeight="1" x14ac:dyDescent="0.2">
      <c r="A119" s="60" t="s">
        <v>19</v>
      </c>
      <c r="B119" s="61">
        <v>60.8</v>
      </c>
      <c r="C119" s="61">
        <v>66.900000000000006</v>
      </c>
      <c r="D119" s="61">
        <v>66.099999999999994</v>
      </c>
      <c r="E119" s="36"/>
      <c r="F119" s="62" t="s">
        <v>20</v>
      </c>
      <c r="G119" s="63">
        <f>IFERROR(AVERAGE(B119:D121),"-")</f>
        <v>65.188888888888897</v>
      </c>
      <c r="H119" s="36"/>
      <c r="I119" s="60" t="s">
        <v>19</v>
      </c>
      <c r="J119" s="61">
        <v>703.7</v>
      </c>
      <c r="K119" s="61">
        <v>929.4</v>
      </c>
      <c r="L119" s="61">
        <v>820</v>
      </c>
      <c r="M119" s="36"/>
      <c r="N119" s="62" t="s">
        <v>20</v>
      </c>
      <c r="O119" s="63">
        <f>IFERROR(AVERAGE(J119:L121),"-")</f>
        <v>835.63333333333333</v>
      </c>
      <c r="P119" s="36"/>
      <c r="Q119" s="36"/>
      <c r="R119" s="36"/>
      <c r="S119" s="36"/>
      <c r="T119" s="36"/>
      <c r="U119" s="36"/>
    </row>
    <row r="120" spans="1:21" ht="14.75" customHeight="1" x14ac:dyDescent="0.2">
      <c r="A120" s="60" t="s">
        <v>21</v>
      </c>
      <c r="B120" s="64">
        <v>64.8</v>
      </c>
      <c r="C120" s="64">
        <v>69.3</v>
      </c>
      <c r="D120" s="64">
        <v>65.5</v>
      </c>
      <c r="E120" s="36"/>
      <c r="F120" s="62" t="s">
        <v>22</v>
      </c>
      <c r="G120" s="63">
        <f>IFERROR(MIN(B119:D121),"-")</f>
        <v>60.8</v>
      </c>
      <c r="H120" s="36"/>
      <c r="I120" s="60" t="s">
        <v>21</v>
      </c>
      <c r="J120" s="64">
        <v>817.4</v>
      </c>
      <c r="K120" s="64">
        <v>989.2</v>
      </c>
      <c r="L120" s="64">
        <v>855</v>
      </c>
      <c r="M120" s="36"/>
      <c r="N120" s="62" t="s">
        <v>22</v>
      </c>
      <c r="O120" s="63">
        <f>IFERROR(MIN(J119:L121),"-")</f>
        <v>703.7</v>
      </c>
      <c r="P120" s="36"/>
      <c r="Q120" s="36"/>
      <c r="R120" s="36"/>
      <c r="S120" s="36"/>
      <c r="T120" s="36"/>
      <c r="U120" s="36"/>
    </row>
    <row r="121" spans="1:21" ht="14.75" customHeight="1" x14ac:dyDescent="0.2">
      <c r="A121" s="60" t="s">
        <v>23</v>
      </c>
      <c r="B121" s="64">
        <v>63</v>
      </c>
      <c r="C121" s="64">
        <v>65.8</v>
      </c>
      <c r="D121" s="64">
        <v>64.5</v>
      </c>
      <c r="E121" s="36"/>
      <c r="F121" s="62" t="s">
        <v>24</v>
      </c>
      <c r="G121" s="63">
        <f>IFERROR(MAX(B119:D121),"-")</f>
        <v>69.3</v>
      </c>
      <c r="H121" s="36"/>
      <c r="I121" s="60" t="s">
        <v>23</v>
      </c>
      <c r="J121" s="64">
        <v>771.5</v>
      </c>
      <c r="K121" s="64">
        <v>882.5</v>
      </c>
      <c r="L121" s="64">
        <v>752</v>
      </c>
      <c r="M121" s="36"/>
      <c r="N121" s="62" t="s">
        <v>24</v>
      </c>
      <c r="O121" s="63">
        <f>IFERROR(MAX(J119:L121),"-")</f>
        <v>989.2</v>
      </c>
      <c r="P121" s="36"/>
      <c r="Q121" s="36"/>
      <c r="R121" s="36"/>
      <c r="S121" s="36"/>
      <c r="T121" s="36"/>
      <c r="U121" s="36"/>
    </row>
    <row r="122" spans="1:21" ht="14.75" customHeight="1" x14ac:dyDescent="0.2">
      <c r="A122" s="36"/>
      <c r="B122" s="36"/>
      <c r="C122" s="36"/>
      <c r="D122" s="36"/>
      <c r="E122" s="36"/>
      <c r="F122" s="62" t="s">
        <v>25</v>
      </c>
      <c r="G122" s="63">
        <f>IFERROR(G121-G120,"-")</f>
        <v>8.5</v>
      </c>
      <c r="H122" s="36"/>
      <c r="I122" s="36"/>
      <c r="J122" s="36"/>
      <c r="K122" s="36"/>
      <c r="L122" s="36"/>
      <c r="M122" s="36"/>
      <c r="N122" s="62" t="s">
        <v>25</v>
      </c>
      <c r="O122" s="63">
        <f>IFERROR(O121-O120,"-")</f>
        <v>285.5</v>
      </c>
      <c r="P122" s="36"/>
      <c r="Q122" s="36"/>
      <c r="R122" s="36"/>
      <c r="S122" s="36"/>
      <c r="T122" s="36"/>
      <c r="U122" s="36"/>
    </row>
    <row r="123" spans="1:21" ht="14.75" customHeight="1" x14ac:dyDescent="0.2">
      <c r="A123" s="36"/>
      <c r="B123" s="36"/>
      <c r="C123" s="36"/>
      <c r="D123" s="36"/>
      <c r="E123" s="36"/>
      <c r="F123" s="62" t="s">
        <v>26</v>
      </c>
      <c r="G123" s="63">
        <f>IFERROR(STDEV(B119:D121),"-")</f>
        <v>2.3929293995250074</v>
      </c>
      <c r="H123" s="36"/>
      <c r="I123" s="36"/>
      <c r="J123" s="36"/>
      <c r="K123" s="36"/>
      <c r="L123" s="36"/>
      <c r="M123" s="36"/>
      <c r="N123" s="62" t="s">
        <v>26</v>
      </c>
      <c r="O123" s="63">
        <f>IFERROR(STDEV(J119:L121),"-")</f>
        <v>89.46880741353435</v>
      </c>
      <c r="P123" s="36"/>
      <c r="Q123" s="36"/>
      <c r="R123" s="36"/>
      <c r="S123" s="36"/>
      <c r="T123" s="36"/>
      <c r="U123" s="36"/>
    </row>
    <row r="124" spans="1:21" ht="14.7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62" t="s">
        <v>27</v>
      </c>
      <c r="O124" s="63">
        <f>IFERROR((1-((O121-O120)/(2*O119)))*100,"-")</f>
        <v>82.917148669671704</v>
      </c>
      <c r="P124" s="36"/>
      <c r="Q124" s="36"/>
      <c r="R124" s="36"/>
      <c r="S124" s="36"/>
      <c r="T124" s="36"/>
      <c r="U124" s="36"/>
    </row>
    <row r="125" spans="1:21" ht="14.7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spans="1:21" ht="14.75" customHeight="1" x14ac:dyDescent="0.2">
      <c r="A126" s="78" t="s">
        <v>28</v>
      </c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80"/>
      <c r="P126" s="36"/>
      <c r="Q126" s="36"/>
      <c r="R126" s="36"/>
      <c r="S126" s="36"/>
      <c r="T126" s="36"/>
      <c r="U126" s="36"/>
    </row>
    <row r="127" spans="1:21" ht="14.75" customHeight="1" x14ac:dyDescent="0.2">
      <c r="A127" s="62" t="s">
        <v>29</v>
      </c>
      <c r="B127" s="61"/>
      <c r="C127" s="36"/>
      <c r="D127" s="62" t="s">
        <v>30</v>
      </c>
      <c r="E127" s="61"/>
      <c r="F127" s="36"/>
      <c r="G127" s="62" t="s">
        <v>31</v>
      </c>
      <c r="H127" s="61"/>
      <c r="I127" s="36"/>
      <c r="J127" s="36"/>
      <c r="K127" s="62" t="s">
        <v>33</v>
      </c>
      <c r="L127" s="61"/>
      <c r="M127" s="36"/>
      <c r="N127" s="36"/>
      <c r="O127" s="36"/>
      <c r="P127" s="36"/>
      <c r="Q127" s="36"/>
      <c r="R127" s="36"/>
      <c r="S127" s="36"/>
      <c r="T127" s="36"/>
      <c r="U127" s="36"/>
    </row>
    <row r="128" spans="1:21" ht="14.7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</row>
    <row r="129" spans="1:21" ht="14.75" customHeight="1" x14ac:dyDescent="0.2">
      <c r="A129" s="78" t="s">
        <v>35</v>
      </c>
      <c r="B129" s="79"/>
      <c r="C129" s="79"/>
      <c r="D129" s="79"/>
      <c r="E129" s="79"/>
      <c r="F129" s="80"/>
      <c r="G129" s="36"/>
      <c r="H129" s="78" t="s">
        <v>36</v>
      </c>
      <c r="I129" s="8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</row>
    <row r="130" spans="1:21" ht="29" customHeight="1" x14ac:dyDescent="0.2">
      <c r="A130" s="57" t="s">
        <v>37</v>
      </c>
      <c r="B130" s="58" t="s">
        <v>38</v>
      </c>
      <c r="C130" s="58" t="s">
        <v>39</v>
      </c>
      <c r="D130" s="58" t="s">
        <v>40</v>
      </c>
      <c r="E130" s="58" t="s">
        <v>41</v>
      </c>
      <c r="F130" s="58" t="s">
        <v>42</v>
      </c>
      <c r="G130" s="36"/>
      <c r="H130" s="36"/>
      <c r="I130" s="36"/>
      <c r="J130" s="36"/>
      <c r="K130" s="49" t="s">
        <v>43</v>
      </c>
      <c r="L130" s="49" t="s">
        <v>44</v>
      </c>
      <c r="M130" s="36"/>
      <c r="N130" s="36"/>
      <c r="O130" s="36"/>
      <c r="P130" s="36"/>
      <c r="Q130" s="36"/>
      <c r="R130" s="36"/>
      <c r="S130" s="36"/>
      <c r="T130" s="36"/>
      <c r="U130" s="36"/>
    </row>
    <row r="131" spans="1:21" ht="14.75" customHeight="1" x14ac:dyDescent="0.2">
      <c r="A131" s="65">
        <v>1</v>
      </c>
      <c r="B131" s="61">
        <v>2</v>
      </c>
      <c r="C131" s="66">
        <v>3.74</v>
      </c>
      <c r="D131" s="66">
        <v>1.85</v>
      </c>
      <c r="E131" s="67">
        <f t="shared" ref="E131:E156" si="4">IF(OR(C131="",D131=""),"-",C131*D131)</f>
        <v>6.9190000000000005</v>
      </c>
      <c r="F131" s="63">
        <f t="shared" ref="F131:F156" si="5">IFERROR(C131/D131,"-")</f>
        <v>2.0216216216216218</v>
      </c>
      <c r="G131" s="36"/>
      <c r="H131" s="24" t="s">
        <v>45</v>
      </c>
      <c r="I131" s="68">
        <f>IFERROR(INDEX(C131:C156,MATCH("open",B131:B156,0)),"-")</f>
        <v>20.87</v>
      </c>
      <c r="J131" s="36"/>
      <c r="K131" s="69">
        <f>IF(ISNUMBER(I132),0,NA())</f>
        <v>0</v>
      </c>
      <c r="L131" s="70">
        <f>IF(ISNUMBER(I132),MIN(I132,$L$22),NA())</f>
        <v>1.8703260869565219</v>
      </c>
      <c r="M131" s="36"/>
      <c r="N131" s="36"/>
      <c r="O131" s="36"/>
      <c r="P131" s="36"/>
      <c r="Q131" s="36"/>
      <c r="R131" s="36"/>
      <c r="S131" s="36"/>
      <c r="T131" s="36"/>
      <c r="U131" s="36"/>
    </row>
    <row r="132" spans="1:21" ht="29" customHeight="1" x14ac:dyDescent="0.2">
      <c r="A132" s="65">
        <v>2</v>
      </c>
      <c r="B132" s="61">
        <v>3</v>
      </c>
      <c r="C132" s="66">
        <v>5.58</v>
      </c>
      <c r="D132" s="66">
        <v>1.84</v>
      </c>
      <c r="E132" s="67">
        <f t="shared" si="4"/>
        <v>10.267200000000001</v>
      </c>
      <c r="F132" s="63">
        <f t="shared" si="5"/>
        <v>3.0326086956521738</v>
      </c>
      <c r="G132" s="36"/>
      <c r="H132" s="56" t="s">
        <v>46</v>
      </c>
      <c r="I132" s="71">
        <f>IFERROR(D131-C131*(D132-D131)/(C132-C131),"-")</f>
        <v>1.8703260869565219</v>
      </c>
      <c r="J132" s="36"/>
      <c r="K132" s="69">
        <f>IF(ISNUMBER(C131),C131,NA())</f>
        <v>3.74</v>
      </c>
      <c r="L132" s="70">
        <f>IF(ISNUMBER(D131),D131,NA())</f>
        <v>1.85</v>
      </c>
      <c r="M132" s="36"/>
      <c r="N132" s="36"/>
      <c r="O132" s="36"/>
      <c r="P132" s="36"/>
      <c r="Q132" s="36"/>
      <c r="R132" s="36"/>
      <c r="S132" s="36"/>
      <c r="T132" s="36"/>
      <c r="U132" s="36"/>
    </row>
    <row r="133" spans="1:21" ht="14.75" customHeight="1" x14ac:dyDescent="0.2">
      <c r="A133" s="65">
        <v>3</v>
      </c>
      <c r="B133" s="61">
        <v>4</v>
      </c>
      <c r="C133" s="66">
        <v>7.36</v>
      </c>
      <c r="D133" s="66">
        <v>1.84</v>
      </c>
      <c r="E133" s="67">
        <f t="shared" si="4"/>
        <v>13.542400000000001</v>
      </c>
      <c r="F133" s="63">
        <f t="shared" si="5"/>
        <v>4</v>
      </c>
      <c r="G133" s="36"/>
      <c r="H133" s="56" t="s">
        <v>47</v>
      </c>
      <c r="I133" s="71">
        <f>IFERROR(MAX(E131:E156),"-")</f>
        <v>31.293600000000001</v>
      </c>
      <c r="J133" s="36"/>
      <c r="K133" s="36" t="s">
        <v>48</v>
      </c>
      <c r="L133" s="36" t="str">
        <f>IF(NOT(ISNUMBER(I132)),"",IF(I132&gt;$L$22,"Yes","No"))</f>
        <v>Yes</v>
      </c>
      <c r="M133" s="36"/>
      <c r="N133" s="36"/>
      <c r="O133" s="36"/>
      <c r="P133" s="36"/>
      <c r="Q133" s="36"/>
      <c r="R133" s="36"/>
      <c r="S133" s="36"/>
      <c r="T133" s="36"/>
      <c r="U133" s="36"/>
    </row>
    <row r="134" spans="1:21" ht="14.75" customHeight="1" x14ac:dyDescent="0.2">
      <c r="A134" s="65">
        <v>4</v>
      </c>
      <c r="B134" s="61">
        <v>5</v>
      </c>
      <c r="C134" s="66">
        <v>9.19</v>
      </c>
      <c r="D134" s="66">
        <v>1.83</v>
      </c>
      <c r="E134" s="67">
        <f t="shared" si="4"/>
        <v>16.817699999999999</v>
      </c>
      <c r="F134" s="63">
        <f t="shared" si="5"/>
        <v>5.0218579234972669</v>
      </c>
      <c r="G134" s="36"/>
      <c r="H134" s="56" t="s">
        <v>49</v>
      </c>
      <c r="I134" s="67">
        <f>IFERROR(INDEX(C131:C156,MATCH(I133,E131:E156,0)),"-")</f>
        <v>17.68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</row>
    <row r="135" spans="1:21" ht="14.75" customHeight="1" x14ac:dyDescent="0.2">
      <c r="A135" s="65">
        <v>5</v>
      </c>
      <c r="B135" s="61">
        <v>6</v>
      </c>
      <c r="C135" s="66">
        <v>10.97</v>
      </c>
      <c r="D135" s="66">
        <v>1.83</v>
      </c>
      <c r="E135" s="67">
        <f t="shared" si="4"/>
        <v>20.075100000000003</v>
      </c>
      <c r="F135" s="63">
        <f t="shared" si="5"/>
        <v>5.9945355191256828</v>
      </c>
      <c r="G135" s="36"/>
      <c r="H135" s="56" t="s">
        <v>50</v>
      </c>
      <c r="I135" s="67">
        <f>IFERROR(INDEX(D131:D156,MATCH(I133,E131:E156,0)),"-")</f>
        <v>1.77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</row>
    <row r="136" spans="1:21" ht="14.75" customHeight="1" x14ac:dyDescent="0.2">
      <c r="A136" s="65">
        <v>6</v>
      </c>
      <c r="B136" s="61">
        <v>7</v>
      </c>
      <c r="C136" s="66">
        <v>12.72</v>
      </c>
      <c r="D136" s="66">
        <v>1.82</v>
      </c>
      <c r="E136" s="67">
        <f t="shared" si="4"/>
        <v>23.150400000000001</v>
      </c>
      <c r="F136" s="63">
        <f t="shared" si="5"/>
        <v>6.9890109890109891</v>
      </c>
      <c r="G136" s="36"/>
      <c r="H136" s="56" t="s">
        <v>51</v>
      </c>
      <c r="I136" s="72">
        <f>IFERROR(I134/I135,"-")</f>
        <v>9.9887005649717509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spans="1:21" ht="14.75" customHeight="1" x14ac:dyDescent="0.2">
      <c r="A137" s="65">
        <v>7</v>
      </c>
      <c r="B137" s="61">
        <v>8</v>
      </c>
      <c r="C137" s="66">
        <v>14.58</v>
      </c>
      <c r="D137" s="66">
        <v>1.82</v>
      </c>
      <c r="E137" s="67">
        <f t="shared" si="4"/>
        <v>26.535600000000002</v>
      </c>
      <c r="F137" s="63">
        <f t="shared" si="5"/>
        <v>8.0109890109890109</v>
      </c>
      <c r="G137" s="36"/>
      <c r="H137" s="56" t="s">
        <v>52</v>
      </c>
      <c r="I137" s="72">
        <f>IFERROR(I133/(I131*I132),"-")</f>
        <v>0.80170713109174963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spans="1:21" ht="29" customHeight="1" x14ac:dyDescent="0.2">
      <c r="A138" s="65">
        <v>8</v>
      </c>
      <c r="B138" s="61">
        <v>9</v>
      </c>
      <c r="C138" s="66">
        <v>16.55</v>
      </c>
      <c r="D138" s="66">
        <v>1.8</v>
      </c>
      <c r="E138" s="67">
        <f t="shared" si="4"/>
        <v>29.790000000000003</v>
      </c>
      <c r="F138" s="63">
        <f t="shared" si="5"/>
        <v>9.1944444444444446</v>
      </c>
      <c r="G138" s="36"/>
      <c r="H138" s="56" t="s">
        <v>53</v>
      </c>
      <c r="I138" s="73">
        <f>COUNT(D131:D156)</f>
        <v>26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spans="1:21" ht="14.75" customHeight="1" x14ac:dyDescent="0.2">
      <c r="A139" s="65">
        <v>9</v>
      </c>
      <c r="B139" s="61">
        <v>10</v>
      </c>
      <c r="C139" s="66">
        <v>17.68</v>
      </c>
      <c r="D139" s="66">
        <v>1.77</v>
      </c>
      <c r="E139" s="67">
        <f t="shared" si="4"/>
        <v>31.293600000000001</v>
      </c>
      <c r="F139" s="63">
        <f t="shared" si="5"/>
        <v>9.9887005649717509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spans="1:21" ht="14.75" customHeight="1" x14ac:dyDescent="0.2">
      <c r="A140" s="65">
        <v>10</v>
      </c>
      <c r="B140" s="61">
        <v>11</v>
      </c>
      <c r="C140" s="66">
        <v>18.18</v>
      </c>
      <c r="D140" s="66">
        <v>1.65</v>
      </c>
      <c r="E140" s="67">
        <f t="shared" si="4"/>
        <v>29.996999999999996</v>
      </c>
      <c r="F140" s="63">
        <f t="shared" si="5"/>
        <v>11.018181818181819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spans="1:21" ht="14.75" customHeight="1" x14ac:dyDescent="0.2">
      <c r="A141" s="65">
        <v>11</v>
      </c>
      <c r="B141" s="61">
        <v>12</v>
      </c>
      <c r="C141" s="66">
        <v>18.510000000000002</v>
      </c>
      <c r="D141" s="66">
        <v>1.54</v>
      </c>
      <c r="E141" s="67">
        <f t="shared" si="4"/>
        <v>28.505400000000002</v>
      </c>
      <c r="F141" s="63">
        <f t="shared" si="5"/>
        <v>12.019480519480521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spans="1:21" ht="14.75" customHeight="1" x14ac:dyDescent="0.2">
      <c r="A142" s="65">
        <v>12</v>
      </c>
      <c r="B142" s="61">
        <v>13</v>
      </c>
      <c r="C142" s="66">
        <v>18.77</v>
      </c>
      <c r="D142" s="66">
        <v>1.45</v>
      </c>
      <c r="E142" s="67">
        <f t="shared" si="4"/>
        <v>27.2165</v>
      </c>
      <c r="F142" s="63">
        <f t="shared" si="5"/>
        <v>12.944827586206896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  <row r="143" spans="1:21" ht="14.75" customHeight="1" x14ac:dyDescent="0.2">
      <c r="A143" s="65">
        <v>13</v>
      </c>
      <c r="B143" s="61">
        <v>14</v>
      </c>
      <c r="C143" s="66">
        <v>18.98</v>
      </c>
      <c r="D143" s="66">
        <v>1.36</v>
      </c>
      <c r="E143" s="67">
        <f t="shared" si="4"/>
        <v>25.812800000000003</v>
      </c>
      <c r="F143" s="63">
        <f t="shared" si="5"/>
        <v>13.955882352941176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</row>
    <row r="144" spans="1:21" ht="14.75" customHeight="1" x14ac:dyDescent="0.2">
      <c r="A144" s="65">
        <v>14</v>
      </c>
      <c r="B144" s="61">
        <v>16</v>
      </c>
      <c r="C144" s="66">
        <v>19.29</v>
      </c>
      <c r="D144" s="66">
        <v>1.21</v>
      </c>
      <c r="E144" s="67">
        <f t="shared" si="4"/>
        <v>23.340899999999998</v>
      </c>
      <c r="F144" s="63">
        <f t="shared" si="5"/>
        <v>15.942148760330578</v>
      </c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</row>
    <row r="145" spans="1:21" ht="14.75" customHeight="1" x14ac:dyDescent="0.2">
      <c r="A145" s="65">
        <v>15</v>
      </c>
      <c r="B145" s="61">
        <v>18</v>
      </c>
      <c r="C145" s="66">
        <v>19.489999999999998</v>
      </c>
      <c r="D145" s="66">
        <v>1.08</v>
      </c>
      <c r="E145" s="67">
        <f t="shared" si="4"/>
        <v>21.049199999999999</v>
      </c>
      <c r="F145" s="63">
        <f t="shared" si="5"/>
        <v>18.046296296296294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</row>
    <row r="146" spans="1:21" ht="14.75" customHeight="1" x14ac:dyDescent="0.2">
      <c r="A146" s="65">
        <v>16</v>
      </c>
      <c r="B146" s="61">
        <v>20</v>
      </c>
      <c r="C146" s="66">
        <v>19.649999999999999</v>
      </c>
      <c r="D146" s="66">
        <v>0.98</v>
      </c>
      <c r="E146" s="67">
        <f t="shared" si="4"/>
        <v>19.256999999999998</v>
      </c>
      <c r="F146" s="63">
        <f t="shared" si="5"/>
        <v>20.051020408163264</v>
      </c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</row>
    <row r="147" spans="1:21" ht="14.75" customHeight="1" x14ac:dyDescent="0.2">
      <c r="A147" s="65">
        <v>17</v>
      </c>
      <c r="B147" s="61">
        <v>24</v>
      </c>
      <c r="C147" s="66">
        <v>19.97</v>
      </c>
      <c r="D147" s="66">
        <v>0.83</v>
      </c>
      <c r="E147" s="67">
        <f t="shared" si="4"/>
        <v>16.575099999999999</v>
      </c>
      <c r="F147" s="63">
        <f t="shared" si="5"/>
        <v>24.060240963855421</v>
      </c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</row>
    <row r="148" spans="1:21" ht="14.75" customHeight="1" x14ac:dyDescent="0.2">
      <c r="A148" s="65">
        <v>18</v>
      </c>
      <c r="B148" s="61">
        <v>28</v>
      </c>
      <c r="C148" s="66">
        <v>20.03</v>
      </c>
      <c r="D148" s="66">
        <v>0.72</v>
      </c>
      <c r="E148" s="67">
        <f t="shared" si="4"/>
        <v>14.4216</v>
      </c>
      <c r="F148" s="63">
        <f t="shared" si="5"/>
        <v>27.819444444444446</v>
      </c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</row>
    <row r="149" spans="1:21" ht="14.75" customHeight="1" x14ac:dyDescent="0.2">
      <c r="A149" s="65">
        <v>19</v>
      </c>
      <c r="B149" s="61">
        <v>33</v>
      </c>
      <c r="C149" s="66">
        <v>20.170000000000002</v>
      </c>
      <c r="D149" s="66">
        <v>0.61</v>
      </c>
      <c r="E149" s="67">
        <f t="shared" si="4"/>
        <v>12.303700000000001</v>
      </c>
      <c r="F149" s="63">
        <f t="shared" si="5"/>
        <v>33.06557377049181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</row>
    <row r="150" spans="1:21" ht="14.75" customHeight="1" x14ac:dyDescent="0.2">
      <c r="A150" s="65">
        <v>20</v>
      </c>
      <c r="B150" s="61">
        <v>40</v>
      </c>
      <c r="C150" s="66">
        <v>20.3</v>
      </c>
      <c r="D150" s="66">
        <v>0.51</v>
      </c>
      <c r="E150" s="67">
        <f t="shared" si="4"/>
        <v>10.353</v>
      </c>
      <c r="F150" s="63">
        <f t="shared" si="5"/>
        <v>39.803921568627452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</row>
    <row r="151" spans="1:21" ht="14.75" customHeight="1" x14ac:dyDescent="0.2">
      <c r="A151" s="65">
        <v>21</v>
      </c>
      <c r="B151" s="61">
        <v>50</v>
      </c>
      <c r="C151" s="66">
        <v>20.41</v>
      </c>
      <c r="D151" s="66">
        <v>0.41</v>
      </c>
      <c r="E151" s="67">
        <f t="shared" si="4"/>
        <v>8.3681000000000001</v>
      </c>
      <c r="F151" s="63">
        <f t="shared" si="5"/>
        <v>49.780487804878049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</row>
    <row r="152" spans="1:21" ht="14.75" customHeight="1" x14ac:dyDescent="0.2">
      <c r="A152" s="65">
        <v>22</v>
      </c>
      <c r="B152" s="61">
        <v>70</v>
      </c>
      <c r="C152" s="66">
        <v>20.55</v>
      </c>
      <c r="D152" s="66">
        <v>0.28999999999999998</v>
      </c>
      <c r="E152" s="67">
        <f t="shared" si="4"/>
        <v>5.9594999999999994</v>
      </c>
      <c r="F152" s="63">
        <f t="shared" si="5"/>
        <v>70.862068965517253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</row>
    <row r="153" spans="1:21" ht="14.75" customHeight="1" x14ac:dyDescent="0.2">
      <c r="A153" s="65">
        <v>23</v>
      </c>
      <c r="B153" s="61">
        <v>110</v>
      </c>
      <c r="C153" s="66">
        <v>20.66</v>
      </c>
      <c r="D153" s="66">
        <v>0.19</v>
      </c>
      <c r="E153" s="67">
        <f t="shared" si="4"/>
        <v>3.9254000000000002</v>
      </c>
      <c r="F153" s="63">
        <f t="shared" si="5"/>
        <v>108.73684210526315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</row>
    <row r="154" spans="1:21" ht="14.75" customHeight="1" x14ac:dyDescent="0.2">
      <c r="A154" s="65">
        <v>24</v>
      </c>
      <c r="B154" s="61">
        <v>200</v>
      </c>
      <c r="C154" s="66">
        <v>20.76</v>
      </c>
      <c r="D154" s="66">
        <v>0.1</v>
      </c>
      <c r="E154" s="67">
        <f t="shared" si="4"/>
        <v>2.0760000000000001</v>
      </c>
      <c r="F154" s="63">
        <f t="shared" si="5"/>
        <v>207.6</v>
      </c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</row>
    <row r="155" spans="1:21" ht="14.75" customHeight="1" x14ac:dyDescent="0.2">
      <c r="A155" s="65">
        <v>25</v>
      </c>
      <c r="B155" s="61">
        <v>400</v>
      </c>
      <c r="C155" s="66">
        <v>20.82</v>
      </c>
      <c r="D155" s="66">
        <v>0.05</v>
      </c>
      <c r="E155" s="67">
        <f t="shared" si="4"/>
        <v>1.0410000000000001</v>
      </c>
      <c r="F155" s="63">
        <f t="shared" si="5"/>
        <v>416.4</v>
      </c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</row>
    <row r="156" spans="1:21" ht="14.75" customHeight="1" x14ac:dyDescent="0.2">
      <c r="A156" s="65">
        <v>26</v>
      </c>
      <c r="B156" s="61" t="s">
        <v>54</v>
      </c>
      <c r="C156" s="66">
        <v>20.87</v>
      </c>
      <c r="D156" s="66">
        <v>0</v>
      </c>
      <c r="E156" s="67">
        <f t="shared" si="4"/>
        <v>0</v>
      </c>
      <c r="F156" s="63" t="str">
        <f t="shared" si="5"/>
        <v>-</v>
      </c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</row>
    <row r="157" spans="1:21" ht="14.7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</row>
    <row r="158" spans="1:21" ht="14.75" customHeight="1" x14ac:dyDescent="0.2">
      <c r="A158" s="81" t="s">
        <v>55</v>
      </c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36"/>
      <c r="Q158" s="36"/>
      <c r="R158" s="36"/>
      <c r="S158" s="36"/>
      <c r="T158" s="36"/>
      <c r="U158" s="36"/>
    </row>
    <row r="159" spans="1:21" ht="14.7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</row>
    <row r="160" spans="1:21" ht="14.7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</row>
    <row r="161" spans="1:21" ht="14.7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</row>
    <row r="162" spans="1:21" ht="83" customHeight="1" x14ac:dyDescent="0.2">
      <c r="A162" s="20" t="s">
        <v>0</v>
      </c>
      <c r="B162" s="74">
        <v>46274</v>
      </c>
      <c r="C162" s="36"/>
      <c r="D162" s="20" t="s">
        <v>1</v>
      </c>
      <c r="E162" s="75">
        <v>0.65277777777777779</v>
      </c>
      <c r="F162" s="36"/>
      <c r="G162" s="36"/>
      <c r="H162" s="23" t="s">
        <v>2</v>
      </c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</row>
    <row r="163" spans="1:21" ht="14.7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</row>
    <row r="164" spans="1:21" ht="14.75" customHeight="1" x14ac:dyDescent="0.2">
      <c r="A164" s="78" t="s">
        <v>3</v>
      </c>
      <c r="B164" s="80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</row>
    <row r="165" spans="1:21" ht="43.25" customHeight="1" x14ac:dyDescent="0.2">
      <c r="A165" s="56" t="s">
        <v>4</v>
      </c>
      <c r="B165" s="82" t="s">
        <v>56</v>
      </c>
      <c r="C165" s="83"/>
      <c r="D165" s="84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</row>
    <row r="166" spans="1:21" ht="43.25" customHeight="1" x14ac:dyDescent="0.2">
      <c r="A166" s="56" t="s">
        <v>5</v>
      </c>
      <c r="B166" s="82" t="s">
        <v>59</v>
      </c>
      <c r="C166" s="83"/>
      <c r="D166" s="84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</row>
    <row r="167" spans="1:21" ht="43.25" customHeight="1" x14ac:dyDescent="0.2">
      <c r="A167" s="56" t="s">
        <v>7</v>
      </c>
      <c r="B167" s="82" t="s">
        <v>8</v>
      </c>
      <c r="C167" s="83"/>
      <c r="D167" s="84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</row>
    <row r="168" spans="1:21" ht="43.25" customHeight="1" x14ac:dyDescent="0.2">
      <c r="A168" s="56" t="s">
        <v>9</v>
      </c>
      <c r="B168" s="82" t="s">
        <v>60</v>
      </c>
      <c r="C168" s="83"/>
      <c r="D168" s="84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</row>
    <row r="169" spans="1:21" ht="14.7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</row>
    <row r="170" spans="1:21" ht="14.75" customHeight="1" x14ac:dyDescent="0.2">
      <c r="A170" s="78" t="s">
        <v>11</v>
      </c>
      <c r="B170" s="79"/>
      <c r="C170" s="79"/>
      <c r="D170" s="80"/>
      <c r="E170" s="36"/>
      <c r="F170" s="36"/>
      <c r="G170" s="36"/>
      <c r="H170" s="36"/>
      <c r="I170" s="78" t="s">
        <v>12</v>
      </c>
      <c r="J170" s="79"/>
      <c r="K170" s="79"/>
      <c r="L170" s="80"/>
      <c r="M170" s="36"/>
      <c r="N170" s="36"/>
      <c r="O170" s="36"/>
      <c r="P170" s="36"/>
      <c r="Q170" s="36"/>
      <c r="R170" s="36"/>
      <c r="S170" s="36"/>
      <c r="T170" s="36"/>
      <c r="U170" s="36"/>
    </row>
    <row r="171" spans="1:21" ht="14.75" customHeight="1" x14ac:dyDescent="0.2">
      <c r="A171" s="57" t="s">
        <v>13</v>
      </c>
      <c r="B171" s="58" t="s">
        <v>14</v>
      </c>
      <c r="C171" s="58" t="s">
        <v>15</v>
      </c>
      <c r="D171" s="58" t="s">
        <v>16</v>
      </c>
      <c r="E171" s="36"/>
      <c r="F171" s="25" t="s">
        <v>17</v>
      </c>
      <c r="G171" s="59" t="s">
        <v>18</v>
      </c>
      <c r="H171" s="36"/>
      <c r="I171" s="57" t="s">
        <v>13</v>
      </c>
      <c r="J171" s="58" t="s">
        <v>14</v>
      </c>
      <c r="K171" s="58" t="s">
        <v>15</v>
      </c>
      <c r="L171" s="58" t="s">
        <v>16</v>
      </c>
      <c r="M171" s="36"/>
      <c r="N171" s="25" t="s">
        <v>17</v>
      </c>
      <c r="O171" s="59" t="s">
        <v>18</v>
      </c>
      <c r="P171" s="36"/>
      <c r="Q171" s="36"/>
      <c r="R171" s="36"/>
      <c r="S171" s="36"/>
      <c r="T171" s="36"/>
      <c r="U171" s="36"/>
    </row>
    <row r="172" spans="1:21" ht="14.75" customHeight="1" x14ac:dyDescent="0.2">
      <c r="A172" s="60" t="s">
        <v>19</v>
      </c>
      <c r="B172" s="61">
        <v>37.1</v>
      </c>
      <c r="C172" s="61">
        <v>35.5</v>
      </c>
      <c r="D172" s="61">
        <v>34</v>
      </c>
      <c r="E172" s="36"/>
      <c r="F172" s="62" t="s">
        <v>20</v>
      </c>
      <c r="G172" s="63">
        <f>IFERROR(AVERAGE(B172:D174),"-")</f>
        <v>36.166666666666664</v>
      </c>
      <c r="H172" s="36"/>
      <c r="I172" s="60" t="s">
        <v>19</v>
      </c>
      <c r="J172" s="61">
        <v>290.5</v>
      </c>
      <c r="K172" s="61">
        <v>381.2</v>
      </c>
      <c r="L172" s="61">
        <v>328.8</v>
      </c>
      <c r="M172" s="36"/>
      <c r="N172" s="62" t="s">
        <v>20</v>
      </c>
      <c r="O172" s="63">
        <f>IFERROR(AVERAGE(J172:L174),"-")</f>
        <v>340.83333333333326</v>
      </c>
      <c r="P172" s="36"/>
      <c r="Q172" s="36"/>
      <c r="R172" s="36"/>
      <c r="S172" s="36"/>
      <c r="T172" s="36"/>
      <c r="U172" s="36"/>
    </row>
    <row r="173" spans="1:21" ht="14.75" customHeight="1" x14ac:dyDescent="0.2">
      <c r="A173" s="60" t="s">
        <v>21</v>
      </c>
      <c r="B173" s="64">
        <v>33.799999999999997</v>
      </c>
      <c r="C173" s="64">
        <v>35.4</v>
      </c>
      <c r="D173" s="64">
        <v>35.299999999999997</v>
      </c>
      <c r="E173" s="36"/>
      <c r="F173" s="62" t="s">
        <v>22</v>
      </c>
      <c r="G173" s="63">
        <f>IFERROR(MIN(B172:D174),"-")</f>
        <v>33.799999999999997</v>
      </c>
      <c r="H173" s="36"/>
      <c r="I173" s="60" t="s">
        <v>21</v>
      </c>
      <c r="J173" s="64">
        <v>325.7</v>
      </c>
      <c r="K173" s="64">
        <v>407</v>
      </c>
      <c r="L173" s="64">
        <v>352.8</v>
      </c>
      <c r="M173" s="36"/>
      <c r="N173" s="62" t="s">
        <v>22</v>
      </c>
      <c r="O173" s="63">
        <f>IFERROR(MIN(J172:L174),"-")</f>
        <v>290.5</v>
      </c>
      <c r="P173" s="36"/>
      <c r="Q173" s="36"/>
      <c r="R173" s="36"/>
      <c r="S173" s="36"/>
      <c r="T173" s="36"/>
      <c r="U173" s="36"/>
    </row>
    <row r="174" spans="1:21" ht="14.75" customHeight="1" x14ac:dyDescent="0.2">
      <c r="A174" s="60" t="s">
        <v>23</v>
      </c>
      <c r="B174" s="64">
        <v>37.299999999999997</v>
      </c>
      <c r="C174" s="64">
        <v>37.799999999999997</v>
      </c>
      <c r="D174" s="64">
        <v>39.299999999999997</v>
      </c>
      <c r="E174" s="36"/>
      <c r="F174" s="62" t="s">
        <v>24</v>
      </c>
      <c r="G174" s="63">
        <f>IFERROR(MAX(B172:D174),"-")</f>
        <v>39.299999999999997</v>
      </c>
      <c r="H174" s="36"/>
      <c r="I174" s="60" t="s">
        <v>23</v>
      </c>
      <c r="J174" s="64">
        <v>299.7</v>
      </c>
      <c r="K174" s="64">
        <v>374.6</v>
      </c>
      <c r="L174" s="64">
        <v>307.2</v>
      </c>
      <c r="M174" s="36"/>
      <c r="N174" s="62" t="s">
        <v>24</v>
      </c>
      <c r="O174" s="63">
        <f>IFERROR(MAX(J172:L174),"-")</f>
        <v>407</v>
      </c>
      <c r="P174" s="36"/>
      <c r="Q174" s="36"/>
      <c r="R174" s="36"/>
      <c r="S174" s="36"/>
      <c r="T174" s="36"/>
      <c r="U174" s="36"/>
    </row>
    <row r="175" spans="1:21" ht="14.75" customHeight="1" x14ac:dyDescent="0.2">
      <c r="A175" s="36"/>
      <c r="B175" s="36"/>
      <c r="C175" s="36"/>
      <c r="D175" s="36"/>
      <c r="E175" s="36"/>
      <c r="F175" s="62" t="s">
        <v>25</v>
      </c>
      <c r="G175" s="63">
        <f>IFERROR(G174-G173,"-")</f>
        <v>5.5</v>
      </c>
      <c r="H175" s="36"/>
      <c r="I175" s="36"/>
      <c r="J175" s="36"/>
      <c r="K175" s="36"/>
      <c r="L175" s="36"/>
      <c r="M175" s="36"/>
      <c r="N175" s="62" t="s">
        <v>25</v>
      </c>
      <c r="O175" s="63">
        <f>IFERROR(O174-O173,"-")</f>
        <v>116.5</v>
      </c>
      <c r="P175" s="36"/>
      <c r="Q175" s="36"/>
      <c r="R175" s="36"/>
      <c r="S175" s="36"/>
      <c r="T175" s="36"/>
      <c r="U175" s="36"/>
    </row>
    <row r="176" spans="1:21" ht="14.75" customHeight="1" x14ac:dyDescent="0.2">
      <c r="A176" s="36"/>
      <c r="B176" s="36"/>
      <c r="C176" s="36"/>
      <c r="D176" s="36"/>
      <c r="E176" s="36"/>
      <c r="F176" s="62" t="s">
        <v>26</v>
      </c>
      <c r="G176" s="63">
        <f>IFERROR(STDEV(B172:D174),"-")</f>
        <v>1.8275666882497061</v>
      </c>
      <c r="H176" s="36"/>
      <c r="I176" s="36"/>
      <c r="J176" s="36"/>
      <c r="K176" s="36"/>
      <c r="L176" s="36"/>
      <c r="M176" s="36"/>
      <c r="N176" s="62" t="s">
        <v>26</v>
      </c>
      <c r="O176" s="63">
        <f>IFERROR(STDEV(J172:L174),"-")</f>
        <v>40.344299473408071</v>
      </c>
      <c r="P176" s="36"/>
      <c r="Q176" s="36"/>
      <c r="R176" s="36"/>
      <c r="S176" s="36"/>
      <c r="T176" s="36"/>
      <c r="U176" s="36"/>
    </row>
    <row r="177" spans="1:21" ht="14.7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62" t="s">
        <v>27</v>
      </c>
      <c r="O177" s="63">
        <f>IFERROR((1-((O174-O173)/(2*O172)))*100,"-")</f>
        <v>82.909535452322729</v>
      </c>
      <c r="P177" s="36"/>
      <c r="Q177" s="36"/>
      <c r="R177" s="36"/>
      <c r="S177" s="36"/>
      <c r="T177" s="36"/>
      <c r="U177" s="36"/>
    </row>
    <row r="178" spans="1:21" ht="14.7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</row>
    <row r="179" spans="1:21" ht="14.75" customHeight="1" x14ac:dyDescent="0.2">
      <c r="A179" s="78" t="s">
        <v>28</v>
      </c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80"/>
      <c r="P179" s="36"/>
      <c r="Q179" s="36"/>
      <c r="R179" s="36"/>
      <c r="S179" s="36"/>
      <c r="T179" s="36"/>
      <c r="U179" s="36"/>
    </row>
    <row r="180" spans="1:21" ht="14.75" customHeight="1" x14ac:dyDescent="0.2">
      <c r="A180" s="62" t="s">
        <v>29</v>
      </c>
      <c r="B180" s="61"/>
      <c r="C180" s="36"/>
      <c r="D180" s="62" t="s">
        <v>30</v>
      </c>
      <c r="E180" s="61"/>
      <c r="F180" s="36"/>
      <c r="G180" s="62" t="s">
        <v>31</v>
      </c>
      <c r="H180" s="61"/>
      <c r="I180" s="36"/>
      <c r="J180" s="36"/>
      <c r="K180" s="62" t="s">
        <v>33</v>
      </c>
      <c r="L180" s="61"/>
      <c r="M180" s="36"/>
      <c r="N180" s="36"/>
      <c r="O180" s="36"/>
      <c r="P180" s="36"/>
      <c r="Q180" s="36"/>
      <c r="R180" s="36"/>
      <c r="S180" s="36"/>
      <c r="T180" s="36"/>
      <c r="U180" s="36"/>
    </row>
    <row r="181" spans="1:21" ht="14.7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</row>
    <row r="182" spans="1:21" ht="14.75" customHeight="1" x14ac:dyDescent="0.2">
      <c r="A182" s="78" t="s">
        <v>35</v>
      </c>
      <c r="B182" s="79"/>
      <c r="C182" s="79"/>
      <c r="D182" s="79"/>
      <c r="E182" s="79"/>
      <c r="F182" s="80"/>
      <c r="G182" s="36"/>
      <c r="H182" s="78" t="s">
        <v>36</v>
      </c>
      <c r="I182" s="80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</row>
    <row r="183" spans="1:21" ht="29" customHeight="1" x14ac:dyDescent="0.2">
      <c r="A183" s="57" t="s">
        <v>37</v>
      </c>
      <c r="B183" s="58" t="s">
        <v>38</v>
      </c>
      <c r="C183" s="58" t="s">
        <v>39</v>
      </c>
      <c r="D183" s="58" t="s">
        <v>40</v>
      </c>
      <c r="E183" s="58" t="s">
        <v>41</v>
      </c>
      <c r="F183" s="58" t="s">
        <v>42</v>
      </c>
      <c r="G183" s="36"/>
      <c r="H183" s="36"/>
      <c r="I183" s="36"/>
      <c r="J183" s="36"/>
      <c r="K183" s="49" t="s">
        <v>43</v>
      </c>
      <c r="L183" s="49" t="s">
        <v>44</v>
      </c>
      <c r="M183" s="36"/>
      <c r="N183" s="36"/>
      <c r="O183" s="36"/>
      <c r="P183" s="36"/>
      <c r="Q183" s="36"/>
      <c r="R183" s="36"/>
      <c r="S183" s="36"/>
      <c r="T183" s="36"/>
      <c r="U183" s="36"/>
    </row>
    <row r="184" spans="1:21" ht="14.75" customHeight="1" x14ac:dyDescent="0.2">
      <c r="A184" s="65">
        <v>1</v>
      </c>
      <c r="B184" s="61">
        <v>2</v>
      </c>
      <c r="C184" s="66">
        <v>1.44</v>
      </c>
      <c r="D184" s="66">
        <v>0.7</v>
      </c>
      <c r="E184" s="67">
        <f t="shared" ref="E184:E209" si="6">IF(OR(C184="",D184=""),"-",C184*D184)</f>
        <v>1.008</v>
      </c>
      <c r="F184" s="63">
        <f t="shared" ref="F184:F209" si="7">IFERROR(C184/D184,"-")</f>
        <v>2.0571428571428574</v>
      </c>
      <c r="G184" s="36"/>
      <c r="H184" s="24" t="s">
        <v>45</v>
      </c>
      <c r="I184" s="68">
        <f>IFERROR(INDEX(C184:C209,MATCH("open",B184:B209,0)),"-")</f>
        <v>21.41</v>
      </c>
      <c r="J184" s="36"/>
      <c r="K184" s="69">
        <f>IF(ISNUMBER(I185),0,NA())</f>
        <v>0</v>
      </c>
      <c r="L184" s="70">
        <f>IF(ISNUMBER(I185),MIN(I185,$L$22),NA())</f>
        <v>0.7</v>
      </c>
      <c r="M184" s="36"/>
      <c r="N184" s="36"/>
      <c r="O184" s="36"/>
      <c r="P184" s="36"/>
      <c r="Q184" s="36"/>
      <c r="R184" s="36"/>
      <c r="S184" s="36"/>
      <c r="T184" s="36"/>
      <c r="U184" s="36"/>
    </row>
    <row r="185" spans="1:21" ht="29" customHeight="1" x14ac:dyDescent="0.2">
      <c r="A185" s="65">
        <v>2</v>
      </c>
      <c r="B185" s="61">
        <v>3</v>
      </c>
      <c r="C185" s="66">
        <v>2.14</v>
      </c>
      <c r="D185" s="66">
        <v>0.7</v>
      </c>
      <c r="E185" s="67">
        <f t="shared" si="6"/>
        <v>1.498</v>
      </c>
      <c r="F185" s="63">
        <f t="shared" si="7"/>
        <v>3.0571428571428574</v>
      </c>
      <c r="G185" s="36"/>
      <c r="H185" s="56" t="s">
        <v>46</v>
      </c>
      <c r="I185" s="71">
        <f>IFERROR(D184-C184*(D185-D184)/(C185-C184),"-")</f>
        <v>0.7</v>
      </c>
      <c r="J185" s="36"/>
      <c r="K185" s="69">
        <f>IF(ISNUMBER(C184),C184,NA())</f>
        <v>1.44</v>
      </c>
      <c r="L185" s="70">
        <f>IF(ISNUMBER(D184),D184,NA())</f>
        <v>0.7</v>
      </c>
      <c r="M185" s="36"/>
      <c r="N185" s="36"/>
      <c r="O185" s="36"/>
      <c r="P185" s="36"/>
      <c r="Q185" s="36"/>
      <c r="R185" s="36"/>
      <c r="S185" s="36"/>
      <c r="T185" s="36"/>
      <c r="U185" s="36"/>
    </row>
    <row r="186" spans="1:21" ht="14.75" customHeight="1" x14ac:dyDescent="0.2">
      <c r="A186" s="65">
        <v>3</v>
      </c>
      <c r="B186" s="61">
        <v>4</v>
      </c>
      <c r="C186" s="66">
        <v>2.82</v>
      </c>
      <c r="D186" s="66">
        <v>0.7</v>
      </c>
      <c r="E186" s="67">
        <f t="shared" si="6"/>
        <v>1.9739999999999998</v>
      </c>
      <c r="F186" s="63">
        <f t="shared" si="7"/>
        <v>4.0285714285714285</v>
      </c>
      <c r="G186" s="36"/>
      <c r="H186" s="56" t="s">
        <v>47</v>
      </c>
      <c r="I186" s="71">
        <f>IFERROR(MAX(E184:E209),"-")</f>
        <v>12.4955</v>
      </c>
      <c r="J186" s="36"/>
      <c r="K186" s="36" t="s">
        <v>48</v>
      </c>
      <c r="L186" s="36" t="str">
        <f>IF(NOT(ISNUMBER(I185)),"",IF(I185&gt;$L$22,"Yes","No"))</f>
        <v>Yes</v>
      </c>
      <c r="M186" s="36"/>
      <c r="N186" s="36"/>
      <c r="O186" s="36"/>
      <c r="P186" s="36"/>
      <c r="Q186" s="36"/>
      <c r="R186" s="36"/>
      <c r="S186" s="36"/>
      <c r="T186" s="36"/>
      <c r="U186" s="36"/>
    </row>
    <row r="187" spans="1:21" ht="14.75" customHeight="1" x14ac:dyDescent="0.2">
      <c r="A187" s="65">
        <v>4</v>
      </c>
      <c r="B187" s="61">
        <v>5</v>
      </c>
      <c r="C187" s="66">
        <v>3.51</v>
      </c>
      <c r="D187" s="66">
        <v>0.7</v>
      </c>
      <c r="E187" s="67">
        <f t="shared" si="6"/>
        <v>2.4569999999999999</v>
      </c>
      <c r="F187" s="63">
        <f t="shared" si="7"/>
        <v>5.0142857142857142</v>
      </c>
      <c r="G187" s="36"/>
      <c r="H187" s="56" t="s">
        <v>49</v>
      </c>
      <c r="I187" s="67">
        <f>IFERROR(INDEX(C184:C209,MATCH(I186,E184:E209,0)),"-")</f>
        <v>18.649999999999999</v>
      </c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</row>
    <row r="188" spans="1:21" ht="14.75" customHeight="1" x14ac:dyDescent="0.2">
      <c r="A188" s="65">
        <v>5</v>
      </c>
      <c r="B188" s="61">
        <v>6</v>
      </c>
      <c r="C188" s="66">
        <v>4.2300000000000004</v>
      </c>
      <c r="D188" s="66">
        <v>0.7</v>
      </c>
      <c r="E188" s="67">
        <f t="shared" si="6"/>
        <v>2.9610000000000003</v>
      </c>
      <c r="F188" s="63">
        <f t="shared" si="7"/>
        <v>6.0428571428571436</v>
      </c>
      <c r="G188" s="36"/>
      <c r="H188" s="56" t="s">
        <v>50</v>
      </c>
      <c r="I188" s="67">
        <f>IFERROR(INDEX(D184:D209,MATCH(I186,E184:E209,0)),"-")</f>
        <v>0.67</v>
      </c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</row>
    <row r="189" spans="1:21" ht="14.75" customHeight="1" x14ac:dyDescent="0.2">
      <c r="A189" s="65">
        <v>6</v>
      </c>
      <c r="B189" s="61">
        <v>7</v>
      </c>
      <c r="C189" s="66">
        <v>4.9000000000000004</v>
      </c>
      <c r="D189" s="66">
        <v>0.7</v>
      </c>
      <c r="E189" s="67">
        <f t="shared" si="6"/>
        <v>3.43</v>
      </c>
      <c r="F189" s="63">
        <f t="shared" si="7"/>
        <v>7.0000000000000009</v>
      </c>
      <c r="G189" s="36"/>
      <c r="H189" s="56" t="s">
        <v>51</v>
      </c>
      <c r="I189" s="72">
        <f>IFERROR(I187/I188,"-")</f>
        <v>27.835820895522385</v>
      </c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</row>
    <row r="190" spans="1:21" ht="14.75" customHeight="1" x14ac:dyDescent="0.2">
      <c r="A190" s="65">
        <v>7</v>
      </c>
      <c r="B190" s="61">
        <v>8</v>
      </c>
      <c r="C190" s="66">
        <v>5.58</v>
      </c>
      <c r="D190" s="66">
        <v>0.7</v>
      </c>
      <c r="E190" s="67">
        <f t="shared" si="6"/>
        <v>3.9059999999999997</v>
      </c>
      <c r="F190" s="63">
        <f t="shared" si="7"/>
        <v>7.9714285714285724</v>
      </c>
      <c r="G190" s="36"/>
      <c r="H190" s="56" t="s">
        <v>52</v>
      </c>
      <c r="I190" s="72">
        <f>IFERROR(I186/(I184*I185),"-")</f>
        <v>0.83375592179889246</v>
      </c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</row>
    <row r="191" spans="1:21" ht="29" customHeight="1" x14ac:dyDescent="0.2">
      <c r="A191" s="65">
        <v>8</v>
      </c>
      <c r="B191" s="61">
        <v>9</v>
      </c>
      <c r="C191" s="66">
        <v>6.25</v>
      </c>
      <c r="D191" s="66">
        <v>0.69</v>
      </c>
      <c r="E191" s="67">
        <f t="shared" si="6"/>
        <v>4.3125</v>
      </c>
      <c r="F191" s="63">
        <f t="shared" si="7"/>
        <v>9.0579710144927539</v>
      </c>
      <c r="G191" s="36"/>
      <c r="H191" s="56" t="s">
        <v>53</v>
      </c>
      <c r="I191" s="73">
        <f>COUNT(D184:D209)</f>
        <v>26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</row>
    <row r="192" spans="1:21" ht="14.75" customHeight="1" x14ac:dyDescent="0.2">
      <c r="A192" s="65">
        <v>9</v>
      </c>
      <c r="B192" s="61">
        <v>10</v>
      </c>
      <c r="C192" s="66">
        <v>6.94</v>
      </c>
      <c r="D192" s="66">
        <v>0.69</v>
      </c>
      <c r="E192" s="67">
        <f t="shared" si="6"/>
        <v>4.7885999999999997</v>
      </c>
      <c r="F192" s="63">
        <f t="shared" si="7"/>
        <v>10.057971014492756</v>
      </c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</row>
    <row r="193" spans="1:21" ht="14.75" customHeight="1" x14ac:dyDescent="0.2">
      <c r="A193" s="65">
        <v>10</v>
      </c>
      <c r="B193" s="61">
        <v>11</v>
      </c>
      <c r="C193" s="66">
        <v>7.6</v>
      </c>
      <c r="D193" s="66">
        <v>0.69</v>
      </c>
      <c r="E193" s="67">
        <f t="shared" si="6"/>
        <v>5.2439999999999998</v>
      </c>
      <c r="F193" s="63">
        <f t="shared" si="7"/>
        <v>11.014492753623189</v>
      </c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</row>
    <row r="194" spans="1:21" ht="14.75" customHeight="1" x14ac:dyDescent="0.2">
      <c r="A194" s="65">
        <v>11</v>
      </c>
      <c r="B194" s="61">
        <v>12</v>
      </c>
      <c r="C194" s="66">
        <v>8.2899999999999991</v>
      </c>
      <c r="D194" s="66">
        <v>0.69</v>
      </c>
      <c r="E194" s="67">
        <f t="shared" si="6"/>
        <v>5.7200999999999986</v>
      </c>
      <c r="F194" s="63">
        <f t="shared" si="7"/>
        <v>12.014492753623188</v>
      </c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</row>
    <row r="195" spans="1:21" ht="14.75" customHeight="1" x14ac:dyDescent="0.2">
      <c r="A195" s="65">
        <v>12</v>
      </c>
      <c r="B195" s="61">
        <v>13</v>
      </c>
      <c r="C195" s="66">
        <v>8.92</v>
      </c>
      <c r="D195" s="66">
        <v>0.69</v>
      </c>
      <c r="E195" s="67">
        <f t="shared" si="6"/>
        <v>6.1547999999999998</v>
      </c>
      <c r="F195" s="63">
        <f t="shared" si="7"/>
        <v>12.927536231884059</v>
      </c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</row>
    <row r="196" spans="1:21" ht="14.75" customHeight="1" x14ac:dyDescent="0.2">
      <c r="A196" s="65">
        <v>13</v>
      </c>
      <c r="B196" s="61">
        <v>14</v>
      </c>
      <c r="C196" s="66">
        <v>9.58</v>
      </c>
      <c r="D196" s="66">
        <v>0.69</v>
      </c>
      <c r="E196" s="67">
        <f t="shared" si="6"/>
        <v>6.6101999999999999</v>
      </c>
      <c r="F196" s="63">
        <f t="shared" si="7"/>
        <v>13.884057971014494</v>
      </c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</row>
    <row r="197" spans="1:21" ht="14.75" customHeight="1" x14ac:dyDescent="0.2">
      <c r="A197" s="65">
        <v>14</v>
      </c>
      <c r="B197" s="61">
        <v>16</v>
      </c>
      <c r="C197" s="66">
        <v>10.9</v>
      </c>
      <c r="D197" s="66">
        <v>0.68</v>
      </c>
      <c r="E197" s="67">
        <f t="shared" si="6"/>
        <v>7.4120000000000008</v>
      </c>
      <c r="F197" s="63">
        <f t="shared" si="7"/>
        <v>16.02941176470588</v>
      </c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</row>
    <row r="198" spans="1:21" ht="14.75" customHeight="1" x14ac:dyDescent="0.2">
      <c r="A198" s="65">
        <v>15</v>
      </c>
      <c r="B198" s="61">
        <v>18</v>
      </c>
      <c r="C198" s="66">
        <v>12.2</v>
      </c>
      <c r="D198" s="66">
        <v>0.68</v>
      </c>
      <c r="E198" s="67">
        <f t="shared" si="6"/>
        <v>8.2959999999999994</v>
      </c>
      <c r="F198" s="63">
        <f t="shared" si="7"/>
        <v>17.941176470588232</v>
      </c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</row>
    <row r="199" spans="1:21" ht="14.75" customHeight="1" x14ac:dyDescent="0.2">
      <c r="A199" s="65">
        <v>16</v>
      </c>
      <c r="B199" s="61">
        <v>20</v>
      </c>
      <c r="C199" s="66">
        <v>13.46</v>
      </c>
      <c r="D199" s="66">
        <v>0.68</v>
      </c>
      <c r="E199" s="67">
        <f t="shared" si="6"/>
        <v>9.1528000000000009</v>
      </c>
      <c r="F199" s="63">
        <f t="shared" si="7"/>
        <v>19.794117647058822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</row>
    <row r="200" spans="1:21" ht="14.75" customHeight="1" x14ac:dyDescent="0.2">
      <c r="A200" s="65">
        <v>17</v>
      </c>
      <c r="B200" s="61">
        <v>24</v>
      </c>
      <c r="C200" s="66">
        <v>16.239999999999998</v>
      </c>
      <c r="D200" s="66">
        <v>0.68</v>
      </c>
      <c r="E200" s="67">
        <f t="shared" si="6"/>
        <v>11.043200000000001</v>
      </c>
      <c r="F200" s="63">
        <f t="shared" si="7"/>
        <v>23.882352941176467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</row>
    <row r="201" spans="1:21" ht="14.75" customHeight="1" x14ac:dyDescent="0.2">
      <c r="A201" s="65">
        <v>18</v>
      </c>
      <c r="B201" s="61">
        <v>28</v>
      </c>
      <c r="C201" s="66">
        <v>18.649999999999999</v>
      </c>
      <c r="D201" s="66">
        <v>0.67</v>
      </c>
      <c r="E201" s="67">
        <f t="shared" si="6"/>
        <v>12.4955</v>
      </c>
      <c r="F201" s="63">
        <f t="shared" si="7"/>
        <v>27.835820895522385</v>
      </c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</row>
    <row r="202" spans="1:21" ht="14.75" customHeight="1" x14ac:dyDescent="0.2">
      <c r="A202" s="65">
        <v>19</v>
      </c>
      <c r="B202" s="61">
        <v>33</v>
      </c>
      <c r="C202" s="66">
        <v>19.41</v>
      </c>
      <c r="D202" s="66">
        <v>0.59</v>
      </c>
      <c r="E202" s="67">
        <f t="shared" si="6"/>
        <v>11.4519</v>
      </c>
      <c r="F202" s="63">
        <f t="shared" si="7"/>
        <v>32.898305084745765</v>
      </c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</row>
    <row r="203" spans="1:21" ht="14.75" customHeight="1" x14ac:dyDescent="0.2">
      <c r="A203" s="65">
        <v>20</v>
      </c>
      <c r="B203" s="61">
        <v>40</v>
      </c>
      <c r="C203" s="66">
        <v>19.850000000000001</v>
      </c>
      <c r="D203" s="66">
        <v>0.5</v>
      </c>
      <c r="E203" s="67">
        <f t="shared" si="6"/>
        <v>9.9250000000000007</v>
      </c>
      <c r="F203" s="63">
        <f t="shared" si="7"/>
        <v>39.700000000000003</v>
      </c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</row>
    <row r="204" spans="1:21" ht="14.75" customHeight="1" x14ac:dyDescent="0.2">
      <c r="A204" s="65">
        <v>21</v>
      </c>
      <c r="B204" s="61">
        <v>50</v>
      </c>
      <c r="C204" s="66">
        <v>20.350000000000001</v>
      </c>
      <c r="D204" s="66">
        <v>0.41</v>
      </c>
      <c r="E204" s="67">
        <f t="shared" si="6"/>
        <v>8.3435000000000006</v>
      </c>
      <c r="F204" s="63">
        <f t="shared" si="7"/>
        <v>49.634146341463421</v>
      </c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</row>
    <row r="205" spans="1:21" ht="14.75" customHeight="1" x14ac:dyDescent="0.2">
      <c r="A205" s="65">
        <v>22</v>
      </c>
      <c r="B205" s="61">
        <v>70</v>
      </c>
      <c r="C205" s="66">
        <v>20.71</v>
      </c>
      <c r="D205" s="66">
        <v>0.3</v>
      </c>
      <c r="E205" s="67">
        <f t="shared" si="6"/>
        <v>6.2130000000000001</v>
      </c>
      <c r="F205" s="63">
        <f t="shared" si="7"/>
        <v>69.033333333333346</v>
      </c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</row>
    <row r="206" spans="1:21" ht="14.75" customHeight="1" x14ac:dyDescent="0.2">
      <c r="A206" s="65">
        <v>23</v>
      </c>
      <c r="B206" s="61">
        <v>110</v>
      </c>
      <c r="C206" s="66">
        <v>20.99</v>
      </c>
      <c r="D206" s="66">
        <v>0.19</v>
      </c>
      <c r="E206" s="67">
        <f t="shared" si="6"/>
        <v>3.9880999999999998</v>
      </c>
      <c r="F206" s="63">
        <f t="shared" si="7"/>
        <v>110.4736842105263</v>
      </c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</row>
    <row r="207" spans="1:21" ht="14.75" customHeight="1" x14ac:dyDescent="0.2">
      <c r="A207" s="65">
        <v>24</v>
      </c>
      <c r="B207" s="61">
        <v>200</v>
      </c>
      <c r="C207" s="66">
        <v>21.19</v>
      </c>
      <c r="D207" s="66">
        <v>0.11</v>
      </c>
      <c r="E207" s="67">
        <f t="shared" si="6"/>
        <v>2.3309000000000002</v>
      </c>
      <c r="F207" s="63">
        <f t="shared" si="7"/>
        <v>192.63636363636365</v>
      </c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</row>
    <row r="208" spans="1:21" ht="14.75" customHeight="1" x14ac:dyDescent="0.2">
      <c r="A208" s="65">
        <v>25</v>
      </c>
      <c r="B208" s="61">
        <v>400</v>
      </c>
      <c r="C208" s="66">
        <v>21.3</v>
      </c>
      <c r="D208" s="66">
        <v>0.05</v>
      </c>
      <c r="E208" s="67">
        <f t="shared" si="6"/>
        <v>1.0650000000000002</v>
      </c>
      <c r="F208" s="63">
        <f t="shared" si="7"/>
        <v>426</v>
      </c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</row>
    <row r="209" spans="1:21" ht="14.75" customHeight="1" x14ac:dyDescent="0.2">
      <c r="A209" s="65">
        <v>26</v>
      </c>
      <c r="B209" s="61" t="s">
        <v>54</v>
      </c>
      <c r="C209" s="66">
        <v>21.41</v>
      </c>
      <c r="D209" s="66">
        <v>0</v>
      </c>
      <c r="E209" s="67">
        <f t="shared" si="6"/>
        <v>0</v>
      </c>
      <c r="F209" s="63" t="str">
        <f t="shared" si="7"/>
        <v>-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</row>
    <row r="210" spans="1:21" ht="14.7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</row>
    <row r="211" spans="1:21" ht="14.75" customHeight="1" x14ac:dyDescent="0.2">
      <c r="A211" s="81" t="s">
        <v>55</v>
      </c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36"/>
      <c r="Q211" s="36"/>
      <c r="R211" s="36"/>
      <c r="S211" s="36"/>
      <c r="T211" s="36"/>
      <c r="U211" s="36"/>
    </row>
    <row r="212" spans="1:21" ht="14.7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</row>
    <row r="213" spans="1:21" ht="14.7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</row>
    <row r="214" spans="1:21" ht="14.7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</row>
    <row r="215" spans="1:21" ht="83" customHeight="1" x14ac:dyDescent="0.2">
      <c r="A215" s="20" t="s">
        <v>0</v>
      </c>
      <c r="B215" s="74">
        <v>46274</v>
      </c>
      <c r="C215" s="36"/>
      <c r="D215" s="20" t="s">
        <v>1</v>
      </c>
      <c r="E215" s="75">
        <v>0.66666666666666663</v>
      </c>
      <c r="F215" s="36"/>
      <c r="G215" s="36"/>
      <c r="H215" s="23" t="s">
        <v>2</v>
      </c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</row>
    <row r="216" spans="1:21" ht="14.7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</row>
    <row r="217" spans="1:21" ht="14.75" customHeight="1" x14ac:dyDescent="0.2">
      <c r="A217" s="78" t="s">
        <v>3</v>
      </c>
      <c r="B217" s="80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</row>
    <row r="218" spans="1:21" ht="43.25" customHeight="1" x14ac:dyDescent="0.2">
      <c r="A218" s="56" t="s">
        <v>4</v>
      </c>
      <c r="B218" s="82" t="s">
        <v>56</v>
      </c>
      <c r="C218" s="83"/>
      <c r="D218" s="84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</row>
    <row r="219" spans="1:21" ht="43.25" customHeight="1" x14ac:dyDescent="0.2">
      <c r="A219" s="56" t="s">
        <v>5</v>
      </c>
      <c r="B219" s="82" t="s">
        <v>61</v>
      </c>
      <c r="C219" s="83"/>
      <c r="D219" s="84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</row>
    <row r="220" spans="1:21" ht="43.25" customHeight="1" x14ac:dyDescent="0.2">
      <c r="A220" s="56" t="s">
        <v>7</v>
      </c>
      <c r="B220" s="82" t="s">
        <v>8</v>
      </c>
      <c r="C220" s="83"/>
      <c r="D220" s="84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</row>
    <row r="221" spans="1:21" ht="43.25" customHeight="1" x14ac:dyDescent="0.2">
      <c r="A221" s="56" t="s">
        <v>9</v>
      </c>
      <c r="B221" s="82" t="s">
        <v>62</v>
      </c>
      <c r="C221" s="83"/>
      <c r="D221" s="84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</row>
    <row r="222" spans="1:21" ht="14.7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</row>
    <row r="223" spans="1:21" ht="14.75" customHeight="1" x14ac:dyDescent="0.2">
      <c r="A223" s="78" t="s">
        <v>11</v>
      </c>
      <c r="B223" s="79"/>
      <c r="C223" s="79"/>
      <c r="D223" s="80"/>
      <c r="E223" s="36"/>
      <c r="F223" s="36"/>
      <c r="G223" s="36"/>
      <c r="H223" s="36"/>
      <c r="I223" s="78" t="s">
        <v>12</v>
      </c>
      <c r="J223" s="79"/>
      <c r="K223" s="79"/>
      <c r="L223" s="80"/>
      <c r="M223" s="36"/>
      <c r="N223" s="36"/>
      <c r="O223" s="36"/>
      <c r="P223" s="36"/>
      <c r="Q223" s="36"/>
      <c r="R223" s="36"/>
      <c r="S223" s="36"/>
      <c r="T223" s="36"/>
      <c r="U223" s="36"/>
    </row>
    <row r="224" spans="1:21" ht="14.75" customHeight="1" x14ac:dyDescent="0.2">
      <c r="A224" s="57" t="s">
        <v>13</v>
      </c>
      <c r="B224" s="58" t="s">
        <v>14</v>
      </c>
      <c r="C224" s="58" t="s">
        <v>15</v>
      </c>
      <c r="D224" s="58" t="s">
        <v>16</v>
      </c>
      <c r="E224" s="36"/>
      <c r="F224" s="25" t="s">
        <v>17</v>
      </c>
      <c r="G224" s="59" t="s">
        <v>18</v>
      </c>
      <c r="H224" s="36"/>
      <c r="I224" s="57" t="s">
        <v>13</v>
      </c>
      <c r="J224" s="58" t="s">
        <v>14</v>
      </c>
      <c r="K224" s="58" t="s">
        <v>15</v>
      </c>
      <c r="L224" s="58" t="s">
        <v>16</v>
      </c>
      <c r="M224" s="36"/>
      <c r="N224" s="25" t="s">
        <v>17</v>
      </c>
      <c r="O224" s="59" t="s">
        <v>18</v>
      </c>
      <c r="P224" s="36"/>
      <c r="Q224" s="36"/>
      <c r="R224" s="36"/>
      <c r="S224" s="36"/>
      <c r="T224" s="36"/>
      <c r="U224" s="36"/>
    </row>
    <row r="225" spans="1:21" ht="14.75" customHeight="1" x14ac:dyDescent="0.2">
      <c r="A225" s="60" t="s">
        <v>19</v>
      </c>
      <c r="B225" s="61">
        <v>44.1</v>
      </c>
      <c r="C225" s="61">
        <v>46.6</v>
      </c>
      <c r="D225" s="61">
        <v>47.1</v>
      </c>
      <c r="E225" s="36"/>
      <c r="F225" s="62" t="s">
        <v>20</v>
      </c>
      <c r="G225" s="63">
        <f>IFERROR(AVERAGE(B225:D227),"-")</f>
        <v>48.655555555555551</v>
      </c>
      <c r="H225" s="36"/>
      <c r="I225" s="60" t="s">
        <v>19</v>
      </c>
      <c r="J225" s="61">
        <v>577.70000000000005</v>
      </c>
      <c r="K225" s="61">
        <v>730.6</v>
      </c>
      <c r="L225" s="61">
        <v>636.1</v>
      </c>
      <c r="M225" s="36"/>
      <c r="N225" s="62" t="s">
        <v>20</v>
      </c>
      <c r="O225" s="63">
        <f>IFERROR(AVERAGE(J225:L227),"-")</f>
        <v>644.20000000000005</v>
      </c>
      <c r="P225" s="36"/>
      <c r="Q225" s="36"/>
      <c r="R225" s="36"/>
      <c r="S225" s="36"/>
      <c r="T225" s="36"/>
      <c r="U225" s="36"/>
    </row>
    <row r="226" spans="1:21" ht="14.75" customHeight="1" x14ac:dyDescent="0.2">
      <c r="A226" s="60" t="s">
        <v>21</v>
      </c>
      <c r="B226" s="64">
        <v>43.7</v>
      </c>
      <c r="C226" s="64">
        <v>49.2</v>
      </c>
      <c r="D226" s="64">
        <v>50.5</v>
      </c>
      <c r="E226" s="36"/>
      <c r="F226" s="62" t="s">
        <v>22</v>
      </c>
      <c r="G226" s="63">
        <f>IFERROR(MIN(B225:D227),"-")</f>
        <v>43.7</v>
      </c>
      <c r="H226" s="36"/>
      <c r="I226" s="60" t="s">
        <v>21</v>
      </c>
      <c r="J226" s="64">
        <v>618.5</v>
      </c>
      <c r="K226" s="64">
        <v>738.1</v>
      </c>
      <c r="L226" s="64">
        <v>653.29999999999995</v>
      </c>
      <c r="M226" s="36"/>
      <c r="N226" s="62" t="s">
        <v>22</v>
      </c>
      <c r="O226" s="63">
        <f>IFERROR(MIN(J225:L227),"-")</f>
        <v>570.70000000000005</v>
      </c>
      <c r="P226" s="36"/>
      <c r="Q226" s="36"/>
      <c r="R226" s="36"/>
      <c r="S226" s="36"/>
      <c r="T226" s="36"/>
      <c r="U226" s="36"/>
    </row>
    <row r="227" spans="1:21" ht="14.75" customHeight="1" x14ac:dyDescent="0.2">
      <c r="A227" s="60" t="s">
        <v>23</v>
      </c>
      <c r="B227" s="64">
        <v>51.5</v>
      </c>
      <c r="C227" s="64">
        <v>53.8</v>
      </c>
      <c r="D227" s="64">
        <v>51.4</v>
      </c>
      <c r="E227" s="36"/>
      <c r="F227" s="62" t="s">
        <v>24</v>
      </c>
      <c r="G227" s="63">
        <f>IFERROR(MAX(B225:D227),"-")</f>
        <v>53.8</v>
      </c>
      <c r="H227" s="36"/>
      <c r="I227" s="60" t="s">
        <v>23</v>
      </c>
      <c r="J227" s="64">
        <v>583.20000000000005</v>
      </c>
      <c r="K227" s="64">
        <v>689.6</v>
      </c>
      <c r="L227" s="64">
        <v>570.70000000000005</v>
      </c>
      <c r="M227" s="36"/>
      <c r="N227" s="62" t="s">
        <v>24</v>
      </c>
      <c r="O227" s="63">
        <f>IFERROR(MAX(J225:L227),"-")</f>
        <v>738.1</v>
      </c>
      <c r="P227" s="36"/>
      <c r="Q227" s="36"/>
      <c r="R227" s="36"/>
      <c r="S227" s="36"/>
      <c r="T227" s="36"/>
      <c r="U227" s="36"/>
    </row>
    <row r="228" spans="1:21" ht="14.75" customHeight="1" x14ac:dyDescent="0.2">
      <c r="A228" s="36"/>
      <c r="B228" s="36"/>
      <c r="C228" s="36"/>
      <c r="D228" s="36"/>
      <c r="E228" s="36"/>
      <c r="F228" s="62" t="s">
        <v>25</v>
      </c>
      <c r="G228" s="63">
        <f>IFERROR(G227-G226,"-")</f>
        <v>10.099999999999994</v>
      </c>
      <c r="H228" s="36"/>
      <c r="I228" s="36"/>
      <c r="J228" s="36"/>
      <c r="K228" s="36"/>
      <c r="L228" s="36"/>
      <c r="M228" s="36"/>
      <c r="N228" s="62" t="s">
        <v>25</v>
      </c>
      <c r="O228" s="63">
        <f>IFERROR(O227-O226,"-")</f>
        <v>167.39999999999998</v>
      </c>
      <c r="P228" s="36"/>
      <c r="Q228" s="36"/>
      <c r="R228" s="36"/>
      <c r="S228" s="36"/>
      <c r="T228" s="36"/>
      <c r="U228" s="36"/>
    </row>
    <row r="229" spans="1:21" ht="14.75" customHeight="1" x14ac:dyDescent="0.2">
      <c r="A229" s="36"/>
      <c r="B229" s="36"/>
      <c r="C229" s="36"/>
      <c r="D229" s="36"/>
      <c r="E229" s="36"/>
      <c r="F229" s="62" t="s">
        <v>26</v>
      </c>
      <c r="G229" s="63">
        <f>IFERROR(STDEV(B225:D227),"-")</f>
        <v>3.4953937943782196</v>
      </c>
      <c r="H229" s="36"/>
      <c r="I229" s="36"/>
      <c r="J229" s="36"/>
      <c r="K229" s="36"/>
      <c r="L229" s="36"/>
      <c r="M229" s="36"/>
      <c r="N229" s="62" t="s">
        <v>26</v>
      </c>
      <c r="O229" s="63">
        <f>IFERROR(STDEV(J225:L227),"-")</f>
        <v>63.931349899716643</v>
      </c>
      <c r="P229" s="36"/>
      <c r="Q229" s="36"/>
      <c r="R229" s="36"/>
      <c r="S229" s="36"/>
      <c r="T229" s="36"/>
      <c r="U229" s="36"/>
    </row>
    <row r="230" spans="1:21" ht="14.7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62" t="s">
        <v>27</v>
      </c>
      <c r="O230" s="63">
        <f>IFERROR((1-((O227-O226)/(2*O225)))*100,"-")</f>
        <v>87.007140639552944</v>
      </c>
      <c r="P230" s="36"/>
      <c r="Q230" s="36"/>
      <c r="R230" s="36"/>
      <c r="S230" s="36"/>
      <c r="T230" s="36"/>
      <c r="U230" s="36"/>
    </row>
    <row r="231" spans="1:21" ht="14.7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</row>
    <row r="232" spans="1:21" ht="14.75" customHeight="1" x14ac:dyDescent="0.2">
      <c r="A232" s="78" t="s">
        <v>28</v>
      </c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80"/>
      <c r="P232" s="36"/>
      <c r="Q232" s="36"/>
      <c r="R232" s="36"/>
      <c r="S232" s="36"/>
      <c r="T232" s="36"/>
      <c r="U232" s="36"/>
    </row>
    <row r="233" spans="1:21" ht="14.75" customHeight="1" x14ac:dyDescent="0.2">
      <c r="A233" s="62" t="s">
        <v>29</v>
      </c>
      <c r="B233" s="61"/>
      <c r="C233" s="36"/>
      <c r="D233" s="62" t="s">
        <v>30</v>
      </c>
      <c r="E233" s="61"/>
      <c r="F233" s="36"/>
      <c r="G233" s="62" t="s">
        <v>31</v>
      </c>
      <c r="H233" s="61"/>
      <c r="I233" s="36"/>
      <c r="J233" s="36"/>
      <c r="K233" s="62" t="s">
        <v>33</v>
      </c>
      <c r="L233" s="61"/>
      <c r="M233" s="36"/>
      <c r="N233" s="36"/>
      <c r="O233" s="36"/>
      <c r="P233" s="36"/>
      <c r="Q233" s="36"/>
      <c r="R233" s="36"/>
      <c r="S233" s="36"/>
      <c r="T233" s="36"/>
      <c r="U233" s="36"/>
    </row>
    <row r="234" spans="1:21" ht="14.7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</row>
    <row r="235" spans="1:21" ht="14.75" customHeight="1" x14ac:dyDescent="0.2">
      <c r="A235" s="78" t="s">
        <v>35</v>
      </c>
      <c r="B235" s="79"/>
      <c r="C235" s="79"/>
      <c r="D235" s="79"/>
      <c r="E235" s="79"/>
      <c r="F235" s="80"/>
      <c r="G235" s="36"/>
      <c r="H235" s="78" t="s">
        <v>36</v>
      </c>
      <c r="I235" s="8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</row>
    <row r="236" spans="1:21" ht="29" customHeight="1" x14ac:dyDescent="0.2">
      <c r="A236" s="57" t="s">
        <v>37</v>
      </c>
      <c r="B236" s="58" t="s">
        <v>38</v>
      </c>
      <c r="C236" s="58" t="s">
        <v>39</v>
      </c>
      <c r="D236" s="58" t="s">
        <v>40</v>
      </c>
      <c r="E236" s="58" t="s">
        <v>41</v>
      </c>
      <c r="F236" s="58" t="s">
        <v>42</v>
      </c>
      <c r="G236" s="36"/>
      <c r="H236" s="36"/>
      <c r="I236" s="36"/>
      <c r="J236" s="36"/>
      <c r="K236" s="49" t="s">
        <v>43</v>
      </c>
      <c r="L236" s="49" t="s">
        <v>44</v>
      </c>
      <c r="M236" s="36"/>
      <c r="N236" s="36"/>
      <c r="O236" s="36"/>
      <c r="P236" s="36"/>
      <c r="Q236" s="36"/>
      <c r="R236" s="36"/>
      <c r="S236" s="36"/>
      <c r="T236" s="36"/>
      <c r="U236" s="36"/>
    </row>
    <row r="237" spans="1:21" ht="14.75" customHeight="1" x14ac:dyDescent="0.2">
      <c r="A237" s="65">
        <v>1</v>
      </c>
      <c r="B237" s="61">
        <v>2</v>
      </c>
      <c r="C237" s="66">
        <v>2.84</v>
      </c>
      <c r="D237" s="66">
        <v>1.4</v>
      </c>
      <c r="E237" s="67">
        <f t="shared" ref="E237:E262" si="8">IF(OR(C237="",D237=""),"-",C237*D237)</f>
        <v>3.9759999999999995</v>
      </c>
      <c r="F237" s="63">
        <f t="shared" ref="F237:F262" si="9">IFERROR(C237/D237,"-")</f>
        <v>2.0285714285714285</v>
      </c>
      <c r="G237" s="36"/>
      <c r="H237" s="24" t="s">
        <v>45</v>
      </c>
      <c r="I237" s="68">
        <f>IFERROR(INDEX(C237:C262,MATCH("open",B237:B262,0)),"-")</f>
        <v>21.5</v>
      </c>
      <c r="J237" s="36"/>
      <c r="K237" s="69">
        <f>IF(ISNUMBER(I238),0,NA())</f>
        <v>0</v>
      </c>
      <c r="L237" s="70">
        <f>IF(ISNUMBER(I238),MIN(I238,$L$22),NA())</f>
        <v>1.4</v>
      </c>
      <c r="M237" s="36"/>
      <c r="N237" s="36"/>
      <c r="O237" s="36"/>
      <c r="P237" s="36"/>
      <c r="Q237" s="36"/>
      <c r="R237" s="36"/>
      <c r="S237" s="36"/>
      <c r="T237" s="36"/>
      <c r="U237" s="36"/>
    </row>
    <row r="238" spans="1:21" ht="29" customHeight="1" x14ac:dyDescent="0.2">
      <c r="A238" s="65">
        <v>2</v>
      </c>
      <c r="B238" s="61">
        <v>3</v>
      </c>
      <c r="C238" s="66">
        <v>4.2300000000000004</v>
      </c>
      <c r="D238" s="66">
        <v>1.4</v>
      </c>
      <c r="E238" s="67">
        <f t="shared" si="8"/>
        <v>5.9220000000000006</v>
      </c>
      <c r="F238" s="63">
        <f t="shared" si="9"/>
        <v>3.0214285714285718</v>
      </c>
      <c r="G238" s="36"/>
      <c r="H238" s="56" t="s">
        <v>46</v>
      </c>
      <c r="I238" s="71">
        <f>IFERROR(D237-C237*(D238-D237)/(C238-C237),"-")</f>
        <v>1.4</v>
      </c>
      <c r="J238" s="36"/>
      <c r="K238" s="69">
        <f>IF(ISNUMBER(C237),C237,NA())</f>
        <v>2.84</v>
      </c>
      <c r="L238" s="70">
        <f>IF(ISNUMBER(D237),D237,NA())</f>
        <v>1.4</v>
      </c>
      <c r="M238" s="36"/>
      <c r="N238" s="36"/>
      <c r="O238" s="36"/>
      <c r="P238" s="36"/>
      <c r="Q238" s="36"/>
      <c r="R238" s="36"/>
      <c r="S238" s="36"/>
      <c r="T238" s="36"/>
      <c r="U238" s="36"/>
    </row>
    <row r="239" spans="1:21" ht="14.75" customHeight="1" x14ac:dyDescent="0.2">
      <c r="A239" s="65">
        <v>3</v>
      </c>
      <c r="B239" s="61">
        <v>4</v>
      </c>
      <c r="C239" s="66">
        <v>5.6</v>
      </c>
      <c r="D239" s="66">
        <v>1.39</v>
      </c>
      <c r="E239" s="67">
        <f t="shared" si="8"/>
        <v>7.7839999999999989</v>
      </c>
      <c r="F239" s="63">
        <f t="shared" si="9"/>
        <v>4.028776978417266</v>
      </c>
      <c r="G239" s="36"/>
      <c r="H239" s="56" t="s">
        <v>47</v>
      </c>
      <c r="I239" s="71">
        <f>IFERROR(MAX(E237:E262),"-")</f>
        <v>24.784800000000001</v>
      </c>
      <c r="J239" s="36"/>
      <c r="K239" s="36" t="s">
        <v>48</v>
      </c>
      <c r="L239" s="36" t="str">
        <f>IF(NOT(ISNUMBER(I238)),"",IF(I238&gt;$L$22,"Yes","No"))</f>
        <v>Yes</v>
      </c>
      <c r="M239" s="36"/>
      <c r="N239" s="36"/>
      <c r="O239" s="36"/>
      <c r="P239" s="36"/>
      <c r="Q239" s="36"/>
      <c r="R239" s="36"/>
      <c r="S239" s="36"/>
      <c r="T239" s="36"/>
      <c r="U239" s="36"/>
    </row>
    <row r="240" spans="1:21" ht="14.75" customHeight="1" x14ac:dyDescent="0.2">
      <c r="A240" s="65">
        <v>4</v>
      </c>
      <c r="B240" s="61">
        <v>5</v>
      </c>
      <c r="C240" s="66">
        <v>6.94</v>
      </c>
      <c r="D240" s="66">
        <v>1.39</v>
      </c>
      <c r="E240" s="67">
        <f t="shared" si="8"/>
        <v>9.6465999999999994</v>
      </c>
      <c r="F240" s="63">
        <f t="shared" si="9"/>
        <v>4.9928057553956844</v>
      </c>
      <c r="G240" s="36"/>
      <c r="H240" s="56" t="s">
        <v>49</v>
      </c>
      <c r="I240" s="67">
        <f>IFERROR(INDEX(C237:C262,MATCH(I239,E237:E262,0)),"-")</f>
        <v>17.96</v>
      </c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</row>
    <row r="241" spans="1:21" ht="14.75" customHeight="1" x14ac:dyDescent="0.2">
      <c r="A241" s="65">
        <v>5</v>
      </c>
      <c r="B241" s="61">
        <v>6</v>
      </c>
      <c r="C241" s="66">
        <v>8.25</v>
      </c>
      <c r="D241" s="66">
        <v>1.38</v>
      </c>
      <c r="E241" s="67">
        <f t="shared" si="8"/>
        <v>11.385</v>
      </c>
      <c r="F241" s="63">
        <f t="shared" si="9"/>
        <v>5.9782608695652177</v>
      </c>
      <c r="G241" s="36"/>
      <c r="H241" s="56" t="s">
        <v>50</v>
      </c>
      <c r="I241" s="67">
        <f>IFERROR(INDEX(D237:D262,MATCH(I239,E237:E262,0)),"-")</f>
        <v>1.38</v>
      </c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</row>
    <row r="242" spans="1:21" ht="14.75" customHeight="1" x14ac:dyDescent="0.2">
      <c r="A242" s="65">
        <v>6</v>
      </c>
      <c r="B242" s="61">
        <v>7</v>
      </c>
      <c r="C242" s="66">
        <v>9.5500000000000007</v>
      </c>
      <c r="D242" s="66">
        <v>1.36</v>
      </c>
      <c r="E242" s="67">
        <f t="shared" si="8"/>
        <v>12.988000000000001</v>
      </c>
      <c r="F242" s="63">
        <f t="shared" si="9"/>
        <v>7.0220588235294121</v>
      </c>
      <c r="G242" s="36"/>
      <c r="H242" s="56" t="s">
        <v>51</v>
      </c>
      <c r="I242" s="72">
        <f>IFERROR(I240/I241,"-")</f>
        <v>13.014492753623189</v>
      </c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</row>
    <row r="243" spans="1:21" ht="14.75" customHeight="1" x14ac:dyDescent="0.2">
      <c r="A243" s="65">
        <v>7</v>
      </c>
      <c r="B243" s="61">
        <v>8</v>
      </c>
      <c r="C243" s="66">
        <v>10.91</v>
      </c>
      <c r="D243" s="66">
        <v>1.36</v>
      </c>
      <c r="E243" s="67">
        <f t="shared" si="8"/>
        <v>14.837600000000002</v>
      </c>
      <c r="F243" s="63">
        <f t="shared" si="9"/>
        <v>8.0220588235294112</v>
      </c>
      <c r="G243" s="36"/>
      <c r="H243" s="56" t="s">
        <v>52</v>
      </c>
      <c r="I243" s="72">
        <f>IFERROR(I239/(I237*I238),"-")</f>
        <v>0.82341528239202666</v>
      </c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</row>
    <row r="244" spans="1:21" ht="29" customHeight="1" x14ac:dyDescent="0.2">
      <c r="A244" s="65">
        <v>8</v>
      </c>
      <c r="B244" s="61">
        <v>9</v>
      </c>
      <c r="C244" s="66">
        <v>12.26</v>
      </c>
      <c r="D244" s="66">
        <v>1.36</v>
      </c>
      <c r="E244" s="67">
        <f t="shared" si="8"/>
        <v>16.6736</v>
      </c>
      <c r="F244" s="63">
        <f t="shared" si="9"/>
        <v>9.0147058823529402</v>
      </c>
      <c r="G244" s="36"/>
      <c r="H244" s="56" t="s">
        <v>53</v>
      </c>
      <c r="I244" s="73">
        <f>COUNT(D237:D262)</f>
        <v>26</v>
      </c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</row>
    <row r="245" spans="1:21" ht="14.75" customHeight="1" x14ac:dyDescent="0.2">
      <c r="A245" s="65">
        <v>9</v>
      </c>
      <c r="B245" s="61">
        <v>10</v>
      </c>
      <c r="C245" s="66">
        <v>13.61</v>
      </c>
      <c r="D245" s="66">
        <v>1.36</v>
      </c>
      <c r="E245" s="67">
        <f t="shared" si="8"/>
        <v>18.509599999999999</v>
      </c>
      <c r="F245" s="63">
        <f t="shared" si="9"/>
        <v>10.007352941176469</v>
      </c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</row>
    <row r="246" spans="1:21" ht="14.75" customHeight="1" x14ac:dyDescent="0.2">
      <c r="A246" s="65">
        <v>10</v>
      </c>
      <c r="B246" s="61">
        <v>11</v>
      </c>
      <c r="C246" s="66">
        <v>14.19</v>
      </c>
      <c r="D246" s="66">
        <v>1.36</v>
      </c>
      <c r="E246" s="67">
        <f t="shared" si="8"/>
        <v>19.298400000000001</v>
      </c>
      <c r="F246" s="63">
        <f t="shared" si="9"/>
        <v>10.433823529411763</v>
      </c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</row>
    <row r="247" spans="1:21" ht="14.75" customHeight="1" x14ac:dyDescent="0.2">
      <c r="A247" s="65">
        <v>11</v>
      </c>
      <c r="B247" s="61">
        <v>12</v>
      </c>
      <c r="C247" s="66">
        <v>16.45</v>
      </c>
      <c r="D247" s="66">
        <v>1.37</v>
      </c>
      <c r="E247" s="67">
        <f t="shared" si="8"/>
        <v>22.5365</v>
      </c>
      <c r="F247" s="63">
        <f t="shared" si="9"/>
        <v>12.007299270072991</v>
      </c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</row>
    <row r="248" spans="1:21" ht="14.75" customHeight="1" x14ac:dyDescent="0.2">
      <c r="A248" s="65">
        <v>12</v>
      </c>
      <c r="B248" s="61">
        <v>13</v>
      </c>
      <c r="C248" s="66">
        <v>17.96</v>
      </c>
      <c r="D248" s="66">
        <v>1.38</v>
      </c>
      <c r="E248" s="67">
        <f t="shared" si="8"/>
        <v>24.784800000000001</v>
      </c>
      <c r="F248" s="63">
        <f t="shared" si="9"/>
        <v>13.014492753623189</v>
      </c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</row>
    <row r="249" spans="1:21" ht="14.75" customHeight="1" x14ac:dyDescent="0.2">
      <c r="A249" s="65">
        <v>13</v>
      </c>
      <c r="B249" s="61">
        <v>14</v>
      </c>
      <c r="C249" s="66">
        <v>18.57</v>
      </c>
      <c r="D249" s="66">
        <v>1.33</v>
      </c>
      <c r="E249" s="67">
        <f t="shared" si="8"/>
        <v>24.6981</v>
      </c>
      <c r="F249" s="63">
        <f t="shared" si="9"/>
        <v>13.962406015037594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</row>
    <row r="250" spans="1:21" ht="14.75" customHeight="1" x14ac:dyDescent="0.2">
      <c r="A250" s="65">
        <v>14</v>
      </c>
      <c r="B250" s="61">
        <v>16</v>
      </c>
      <c r="C250" s="66">
        <v>19.18</v>
      </c>
      <c r="D250" s="66">
        <v>1.2</v>
      </c>
      <c r="E250" s="67">
        <f t="shared" si="8"/>
        <v>23.015999999999998</v>
      </c>
      <c r="F250" s="63">
        <f t="shared" si="9"/>
        <v>15.983333333333334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</row>
    <row r="251" spans="1:21" ht="14.75" customHeight="1" x14ac:dyDescent="0.2">
      <c r="A251" s="65">
        <v>15</v>
      </c>
      <c r="B251" s="61">
        <v>18</v>
      </c>
      <c r="C251" s="66">
        <v>19.559999999999999</v>
      </c>
      <c r="D251" s="66">
        <v>1.0900000000000001</v>
      </c>
      <c r="E251" s="67">
        <f t="shared" si="8"/>
        <v>21.320399999999999</v>
      </c>
      <c r="F251" s="63">
        <f t="shared" si="9"/>
        <v>17.944954128440365</v>
      </c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</row>
    <row r="252" spans="1:21" ht="14.75" customHeight="1" x14ac:dyDescent="0.2">
      <c r="A252" s="65">
        <v>16</v>
      </c>
      <c r="B252" s="61">
        <v>20</v>
      </c>
      <c r="C252" s="66">
        <v>19.82</v>
      </c>
      <c r="D252" s="66">
        <v>0.99</v>
      </c>
      <c r="E252" s="67">
        <f t="shared" si="8"/>
        <v>19.6218</v>
      </c>
      <c r="F252" s="63">
        <f t="shared" si="9"/>
        <v>20.020202020202021</v>
      </c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</row>
    <row r="253" spans="1:21" ht="14.75" customHeight="1" x14ac:dyDescent="0.2">
      <c r="A253" s="65">
        <v>17</v>
      </c>
      <c r="B253" s="61">
        <v>24</v>
      </c>
      <c r="C253" s="66">
        <v>20.170000000000002</v>
      </c>
      <c r="D253" s="66">
        <v>0.84</v>
      </c>
      <c r="E253" s="67">
        <f t="shared" si="8"/>
        <v>16.942800000000002</v>
      </c>
      <c r="F253" s="63">
        <f t="shared" si="9"/>
        <v>24.011904761904766</v>
      </c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</row>
    <row r="254" spans="1:21" ht="14.75" customHeight="1" x14ac:dyDescent="0.2">
      <c r="A254" s="65">
        <v>18</v>
      </c>
      <c r="B254" s="61">
        <v>28</v>
      </c>
      <c r="C254" s="66">
        <v>20.39</v>
      </c>
      <c r="D254" s="66">
        <v>0.73</v>
      </c>
      <c r="E254" s="67">
        <f t="shared" si="8"/>
        <v>14.8847</v>
      </c>
      <c r="F254" s="63">
        <f t="shared" si="9"/>
        <v>27.93150684931507</v>
      </c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</row>
    <row r="255" spans="1:21" ht="14.75" customHeight="1" x14ac:dyDescent="0.2">
      <c r="A255" s="65">
        <v>19</v>
      </c>
      <c r="B255" s="61">
        <v>33</v>
      </c>
      <c r="C255" s="66">
        <v>20.58</v>
      </c>
      <c r="D255" s="66">
        <v>0.62</v>
      </c>
      <c r="E255" s="67">
        <f t="shared" si="8"/>
        <v>12.759599999999999</v>
      </c>
      <c r="F255" s="63">
        <f t="shared" si="9"/>
        <v>33.193548387096769</v>
      </c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</row>
    <row r="256" spans="1:21" ht="14.75" customHeight="1" x14ac:dyDescent="0.2">
      <c r="A256" s="65">
        <v>20</v>
      </c>
      <c r="B256" s="61">
        <v>40</v>
      </c>
      <c r="C256" s="66">
        <v>20.76</v>
      </c>
      <c r="D256" s="66">
        <v>0.52</v>
      </c>
      <c r="E256" s="67">
        <f t="shared" si="8"/>
        <v>10.795200000000001</v>
      </c>
      <c r="F256" s="63">
        <f t="shared" si="9"/>
        <v>39.923076923076927</v>
      </c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</row>
    <row r="257" spans="1:21" ht="14.75" customHeight="1" x14ac:dyDescent="0.2">
      <c r="A257" s="65">
        <v>21</v>
      </c>
      <c r="B257" s="61">
        <v>50</v>
      </c>
      <c r="C257" s="66">
        <v>20.91</v>
      </c>
      <c r="D257" s="66">
        <v>0.42</v>
      </c>
      <c r="E257" s="67">
        <f t="shared" si="8"/>
        <v>8.7821999999999996</v>
      </c>
      <c r="F257" s="63">
        <f t="shared" si="9"/>
        <v>49.785714285714285</v>
      </c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</row>
    <row r="258" spans="1:21" ht="14.75" customHeight="1" x14ac:dyDescent="0.2">
      <c r="A258" s="65">
        <v>22</v>
      </c>
      <c r="B258" s="61">
        <v>70</v>
      </c>
      <c r="C258" s="66">
        <v>21.08</v>
      </c>
      <c r="D258" s="66">
        <v>0.3</v>
      </c>
      <c r="E258" s="67">
        <f t="shared" si="8"/>
        <v>6.323999999999999</v>
      </c>
      <c r="F258" s="63">
        <f t="shared" si="9"/>
        <v>70.266666666666666</v>
      </c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</row>
    <row r="259" spans="1:21" ht="14.75" customHeight="1" x14ac:dyDescent="0.2">
      <c r="A259" s="65">
        <v>23</v>
      </c>
      <c r="B259" s="61">
        <v>110</v>
      </c>
      <c r="C259" s="66">
        <v>21.23</v>
      </c>
      <c r="D259" s="66">
        <v>0.19</v>
      </c>
      <c r="E259" s="67">
        <f t="shared" si="8"/>
        <v>4.0337000000000005</v>
      </c>
      <c r="F259" s="63">
        <f t="shared" si="9"/>
        <v>111.73684210526316</v>
      </c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</row>
    <row r="260" spans="1:21" ht="14.75" customHeight="1" x14ac:dyDescent="0.2">
      <c r="A260" s="65">
        <v>24</v>
      </c>
      <c r="B260" s="61">
        <v>200</v>
      </c>
      <c r="C260" s="66">
        <v>21.35</v>
      </c>
      <c r="D260" s="66">
        <v>0.11</v>
      </c>
      <c r="E260" s="67">
        <f t="shared" si="8"/>
        <v>2.3485</v>
      </c>
      <c r="F260" s="63">
        <f t="shared" si="9"/>
        <v>194.09090909090909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</row>
    <row r="261" spans="1:21" ht="14.75" customHeight="1" x14ac:dyDescent="0.2">
      <c r="A261" s="65">
        <v>25</v>
      </c>
      <c r="B261" s="61">
        <v>400</v>
      </c>
      <c r="C261" s="66">
        <v>21.42</v>
      </c>
      <c r="D261" s="66">
        <v>0.05</v>
      </c>
      <c r="E261" s="67">
        <f t="shared" si="8"/>
        <v>1.0710000000000002</v>
      </c>
      <c r="F261" s="63">
        <f t="shared" si="9"/>
        <v>428.40000000000003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</row>
    <row r="262" spans="1:21" ht="14.75" customHeight="1" x14ac:dyDescent="0.2">
      <c r="A262" s="65">
        <v>26</v>
      </c>
      <c r="B262" s="61" t="s">
        <v>54</v>
      </c>
      <c r="C262" s="66">
        <v>21.5</v>
      </c>
      <c r="D262" s="66">
        <v>0</v>
      </c>
      <c r="E262" s="67">
        <f t="shared" si="8"/>
        <v>0</v>
      </c>
      <c r="F262" s="63" t="str">
        <f t="shared" si="9"/>
        <v>-</v>
      </c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</row>
    <row r="263" spans="1:21" ht="14.7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</row>
    <row r="264" spans="1:21" ht="14.75" customHeight="1" x14ac:dyDescent="0.2">
      <c r="A264" s="81" t="s">
        <v>55</v>
      </c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36"/>
      <c r="Q264" s="36"/>
      <c r="R264" s="36"/>
      <c r="S264" s="36"/>
      <c r="T264" s="36"/>
      <c r="U264" s="36"/>
    </row>
    <row r="265" spans="1:21" ht="14.7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</row>
    <row r="266" spans="1:21" ht="14.7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</row>
    <row r="267" spans="1:21" ht="14.7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</row>
    <row r="268" spans="1:21" ht="83" customHeight="1" x14ac:dyDescent="0.2">
      <c r="A268" s="20" t="s">
        <v>0</v>
      </c>
      <c r="B268" s="74">
        <v>46274</v>
      </c>
      <c r="C268" s="36"/>
      <c r="D268" s="20" t="s">
        <v>1</v>
      </c>
      <c r="E268" s="75">
        <v>0.67708333333333337</v>
      </c>
      <c r="F268" s="36"/>
      <c r="G268" s="36"/>
      <c r="H268" s="23" t="s">
        <v>2</v>
      </c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</row>
    <row r="269" spans="1:21" ht="14.7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</row>
    <row r="270" spans="1:21" ht="14.75" customHeight="1" x14ac:dyDescent="0.2">
      <c r="A270" s="78" t="s">
        <v>3</v>
      </c>
      <c r="B270" s="80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</row>
    <row r="271" spans="1:21" ht="43.25" customHeight="1" x14ac:dyDescent="0.2">
      <c r="A271" s="56" t="s">
        <v>4</v>
      </c>
      <c r="B271" s="82" t="s">
        <v>56</v>
      </c>
      <c r="C271" s="83"/>
      <c r="D271" s="84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</row>
    <row r="272" spans="1:21" ht="43.25" customHeight="1" x14ac:dyDescent="0.2">
      <c r="A272" s="56" t="s">
        <v>5</v>
      </c>
      <c r="B272" s="82" t="s">
        <v>61</v>
      </c>
      <c r="C272" s="83"/>
      <c r="D272" s="84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</row>
    <row r="273" spans="1:21" ht="43.25" customHeight="1" x14ac:dyDescent="0.2">
      <c r="A273" s="56" t="s">
        <v>7</v>
      </c>
      <c r="B273" s="82" t="s">
        <v>8</v>
      </c>
      <c r="C273" s="83"/>
      <c r="D273" s="84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</row>
    <row r="274" spans="1:21" ht="43.25" customHeight="1" x14ac:dyDescent="0.2">
      <c r="A274" s="56" t="s">
        <v>9</v>
      </c>
      <c r="B274" s="82" t="s">
        <v>63</v>
      </c>
      <c r="C274" s="83"/>
      <c r="D274" s="84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</row>
    <row r="275" spans="1:21" ht="14.7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</row>
    <row r="276" spans="1:21" ht="14.75" customHeight="1" x14ac:dyDescent="0.2">
      <c r="A276" s="78" t="s">
        <v>11</v>
      </c>
      <c r="B276" s="79"/>
      <c r="C276" s="79"/>
      <c r="D276" s="80"/>
      <c r="E276" s="36"/>
      <c r="F276" s="36"/>
      <c r="G276" s="36"/>
      <c r="H276" s="36"/>
      <c r="I276" s="78" t="s">
        <v>12</v>
      </c>
      <c r="J276" s="79"/>
      <c r="K276" s="79"/>
      <c r="L276" s="80"/>
      <c r="M276" s="36"/>
      <c r="N276" s="36"/>
      <c r="O276" s="36"/>
      <c r="P276" s="36"/>
      <c r="Q276" s="36"/>
      <c r="R276" s="36"/>
      <c r="S276" s="36"/>
      <c r="T276" s="36"/>
      <c r="U276" s="36"/>
    </row>
    <row r="277" spans="1:21" ht="14.75" customHeight="1" x14ac:dyDescent="0.2">
      <c r="A277" s="57" t="s">
        <v>13</v>
      </c>
      <c r="B277" s="58" t="s">
        <v>14</v>
      </c>
      <c r="C277" s="58" t="s">
        <v>15</v>
      </c>
      <c r="D277" s="58" t="s">
        <v>16</v>
      </c>
      <c r="E277" s="36"/>
      <c r="F277" s="25" t="s">
        <v>17</v>
      </c>
      <c r="G277" s="59" t="s">
        <v>18</v>
      </c>
      <c r="H277" s="36"/>
      <c r="I277" s="57" t="s">
        <v>13</v>
      </c>
      <c r="J277" s="58" t="s">
        <v>14</v>
      </c>
      <c r="K277" s="58" t="s">
        <v>15</v>
      </c>
      <c r="L277" s="58" t="s">
        <v>16</v>
      </c>
      <c r="M277" s="36"/>
      <c r="N277" s="25" t="s">
        <v>17</v>
      </c>
      <c r="O277" s="59" t="s">
        <v>18</v>
      </c>
      <c r="P277" s="36"/>
      <c r="Q277" s="36"/>
      <c r="R277" s="36"/>
      <c r="S277" s="36"/>
      <c r="T277" s="36"/>
      <c r="U277" s="36"/>
    </row>
    <row r="278" spans="1:21" ht="14.75" customHeight="1" x14ac:dyDescent="0.2">
      <c r="A278" s="60" t="s">
        <v>19</v>
      </c>
      <c r="B278" s="61">
        <v>44</v>
      </c>
      <c r="C278" s="61">
        <v>43.6</v>
      </c>
      <c r="D278" s="61">
        <v>40.1</v>
      </c>
      <c r="E278" s="36"/>
      <c r="F278" s="62" t="s">
        <v>20</v>
      </c>
      <c r="G278" s="63">
        <f>IFERROR(AVERAGE(B278:D280),"-")</f>
        <v>45.588888888888896</v>
      </c>
      <c r="H278" s="36"/>
      <c r="I278" s="60" t="s">
        <v>19</v>
      </c>
      <c r="J278" s="61">
        <v>762.9</v>
      </c>
      <c r="K278" s="61">
        <v>894.4</v>
      </c>
      <c r="L278" s="61">
        <v>787.6</v>
      </c>
      <c r="M278" s="36"/>
      <c r="N278" s="62" t="s">
        <v>20</v>
      </c>
      <c r="O278" s="63">
        <f>IFERROR(AVERAGE(J278:L280),"-")</f>
        <v>811.8</v>
      </c>
      <c r="P278" s="36"/>
      <c r="Q278" s="36"/>
      <c r="R278" s="36"/>
      <c r="S278" s="36"/>
      <c r="T278" s="36"/>
      <c r="U278" s="36"/>
    </row>
    <row r="279" spans="1:21" ht="14.75" customHeight="1" x14ac:dyDescent="0.2">
      <c r="A279" s="60" t="s">
        <v>21</v>
      </c>
      <c r="B279" s="64">
        <v>47.3</v>
      </c>
      <c r="C279" s="64">
        <v>45</v>
      </c>
      <c r="D279" s="64">
        <v>41.6</v>
      </c>
      <c r="E279" s="36"/>
      <c r="F279" s="62" t="s">
        <v>22</v>
      </c>
      <c r="G279" s="63">
        <f>IFERROR(MIN(B278:D280),"-")</f>
        <v>40.1</v>
      </c>
      <c r="H279" s="36"/>
      <c r="I279" s="60" t="s">
        <v>21</v>
      </c>
      <c r="J279" s="64">
        <v>804.1</v>
      </c>
      <c r="K279" s="64">
        <v>927.5</v>
      </c>
      <c r="L279" s="64">
        <v>774.8</v>
      </c>
      <c r="M279" s="36"/>
      <c r="N279" s="62" t="s">
        <v>22</v>
      </c>
      <c r="O279" s="63">
        <f>IFERROR(MIN(J278:L280),"-")</f>
        <v>744.4</v>
      </c>
      <c r="P279" s="36"/>
      <c r="Q279" s="36"/>
      <c r="R279" s="36"/>
      <c r="S279" s="36"/>
      <c r="T279" s="36"/>
      <c r="U279" s="36"/>
    </row>
    <row r="280" spans="1:21" ht="14.75" customHeight="1" x14ac:dyDescent="0.2">
      <c r="A280" s="60" t="s">
        <v>23</v>
      </c>
      <c r="B280" s="64">
        <v>47.1</v>
      </c>
      <c r="C280" s="64">
        <v>51.5</v>
      </c>
      <c r="D280" s="64">
        <v>50.1</v>
      </c>
      <c r="E280" s="36"/>
      <c r="F280" s="62" t="s">
        <v>24</v>
      </c>
      <c r="G280" s="63">
        <f>IFERROR(MAX(B278:D280),"-")</f>
        <v>51.5</v>
      </c>
      <c r="H280" s="36"/>
      <c r="I280" s="60" t="s">
        <v>23</v>
      </c>
      <c r="J280" s="64">
        <v>745.8</v>
      </c>
      <c r="K280" s="64">
        <v>864.7</v>
      </c>
      <c r="L280" s="64">
        <v>744.4</v>
      </c>
      <c r="M280" s="36"/>
      <c r="N280" s="62" t="s">
        <v>24</v>
      </c>
      <c r="O280" s="63">
        <f>IFERROR(MAX(J278:L280),"-")</f>
        <v>927.5</v>
      </c>
      <c r="P280" s="36"/>
      <c r="Q280" s="36"/>
      <c r="R280" s="36"/>
      <c r="S280" s="36"/>
      <c r="T280" s="36"/>
      <c r="U280" s="36"/>
    </row>
    <row r="281" spans="1:21" ht="14.75" customHeight="1" x14ac:dyDescent="0.2">
      <c r="A281" s="36"/>
      <c r="B281" s="36"/>
      <c r="C281" s="36"/>
      <c r="D281" s="36"/>
      <c r="E281" s="36"/>
      <c r="F281" s="62" t="s">
        <v>25</v>
      </c>
      <c r="G281" s="63">
        <f>IFERROR(G280-G279,"-")</f>
        <v>11.399999999999999</v>
      </c>
      <c r="H281" s="36"/>
      <c r="I281" s="36"/>
      <c r="J281" s="36"/>
      <c r="K281" s="36"/>
      <c r="L281" s="36"/>
      <c r="M281" s="36"/>
      <c r="N281" s="62" t="s">
        <v>25</v>
      </c>
      <c r="O281" s="63">
        <f>IFERROR(O280-O279,"-")</f>
        <v>183.10000000000002</v>
      </c>
      <c r="P281" s="36"/>
      <c r="Q281" s="36"/>
      <c r="R281" s="36"/>
      <c r="S281" s="36"/>
      <c r="T281" s="36"/>
      <c r="U281" s="36"/>
    </row>
    <row r="282" spans="1:21" ht="14.75" customHeight="1" x14ac:dyDescent="0.2">
      <c r="A282" s="36"/>
      <c r="B282" s="36"/>
      <c r="C282" s="36"/>
      <c r="D282" s="36"/>
      <c r="E282" s="36"/>
      <c r="F282" s="62" t="s">
        <v>26</v>
      </c>
      <c r="G282" s="63">
        <f>IFERROR(STDEV(B278:D280),"-")</f>
        <v>3.7644536271696998</v>
      </c>
      <c r="H282" s="36"/>
      <c r="I282" s="36"/>
      <c r="J282" s="36"/>
      <c r="K282" s="36"/>
      <c r="L282" s="36"/>
      <c r="M282" s="36"/>
      <c r="N282" s="62" t="s">
        <v>26</v>
      </c>
      <c r="O282" s="63">
        <f>IFERROR(STDEV(J278:L280),"-")</f>
        <v>67.371692868741263</v>
      </c>
      <c r="P282" s="36"/>
      <c r="Q282" s="36"/>
      <c r="R282" s="36"/>
      <c r="S282" s="36"/>
      <c r="T282" s="36"/>
      <c r="U282" s="36"/>
    </row>
    <row r="283" spans="1:21" ht="14.7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62" t="s">
        <v>27</v>
      </c>
      <c r="O283" s="63">
        <f>IFERROR((1-((O280-O279)/(2*O278)))*100,"-")</f>
        <v>88.722591771372265</v>
      </c>
      <c r="P283" s="36"/>
      <c r="Q283" s="36"/>
      <c r="R283" s="36"/>
      <c r="S283" s="36"/>
      <c r="T283" s="36"/>
      <c r="U283" s="36"/>
    </row>
    <row r="284" spans="1:21" ht="14.7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</row>
    <row r="285" spans="1:21" ht="14.75" customHeight="1" x14ac:dyDescent="0.2">
      <c r="A285" s="78" t="s">
        <v>28</v>
      </c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80"/>
      <c r="P285" s="36"/>
      <c r="Q285" s="36"/>
      <c r="R285" s="36"/>
      <c r="S285" s="36"/>
      <c r="T285" s="36"/>
      <c r="U285" s="36"/>
    </row>
    <row r="286" spans="1:21" ht="14.75" customHeight="1" x14ac:dyDescent="0.2">
      <c r="A286" s="62" t="s">
        <v>29</v>
      </c>
      <c r="B286" s="61"/>
      <c r="C286" s="36"/>
      <c r="D286" s="62" t="s">
        <v>30</v>
      </c>
      <c r="E286" s="61"/>
      <c r="F286" s="36"/>
      <c r="G286" s="62" t="s">
        <v>31</v>
      </c>
      <c r="H286" s="61"/>
      <c r="I286" s="36"/>
      <c r="J286" s="36"/>
      <c r="K286" s="62" t="s">
        <v>33</v>
      </c>
      <c r="L286" s="61"/>
      <c r="M286" s="36"/>
      <c r="N286" s="36"/>
      <c r="O286" s="36"/>
      <c r="P286" s="36"/>
      <c r="Q286" s="36"/>
      <c r="R286" s="36"/>
      <c r="S286" s="36"/>
      <c r="T286" s="36"/>
      <c r="U286" s="36"/>
    </row>
    <row r="287" spans="1:21" ht="14.7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</row>
    <row r="288" spans="1:21" ht="14.75" customHeight="1" x14ac:dyDescent="0.2">
      <c r="A288" s="78" t="s">
        <v>35</v>
      </c>
      <c r="B288" s="79"/>
      <c r="C288" s="79"/>
      <c r="D288" s="79"/>
      <c r="E288" s="79"/>
      <c r="F288" s="80"/>
      <c r="G288" s="36"/>
      <c r="H288" s="78" t="s">
        <v>36</v>
      </c>
      <c r="I288" s="80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</row>
    <row r="289" spans="1:21" ht="29" customHeight="1" x14ac:dyDescent="0.2">
      <c r="A289" s="57" t="s">
        <v>37</v>
      </c>
      <c r="B289" s="58" t="s">
        <v>38</v>
      </c>
      <c r="C289" s="58" t="s">
        <v>39</v>
      </c>
      <c r="D289" s="58" t="s">
        <v>40</v>
      </c>
      <c r="E289" s="58" t="s">
        <v>41</v>
      </c>
      <c r="F289" s="58" t="s">
        <v>42</v>
      </c>
      <c r="G289" s="36"/>
      <c r="H289" s="36"/>
      <c r="I289" s="36"/>
      <c r="J289" s="36"/>
      <c r="K289" s="49" t="s">
        <v>43</v>
      </c>
      <c r="L289" s="49" t="s">
        <v>44</v>
      </c>
      <c r="M289" s="36"/>
      <c r="N289" s="36"/>
      <c r="O289" s="36"/>
      <c r="P289" s="36"/>
      <c r="Q289" s="36"/>
      <c r="R289" s="36"/>
      <c r="S289" s="36"/>
      <c r="T289" s="36"/>
      <c r="U289" s="36"/>
    </row>
    <row r="290" spans="1:21" ht="14.75" customHeight="1" x14ac:dyDescent="0.2">
      <c r="A290" s="65">
        <v>1</v>
      </c>
      <c r="B290" s="61">
        <v>2</v>
      </c>
      <c r="C290" s="66">
        <v>3.69</v>
      </c>
      <c r="D290" s="66">
        <v>1.82</v>
      </c>
      <c r="E290" s="67">
        <f t="shared" ref="E290:E315" si="10">IF(OR(C290="",D290=""),"-",C290*D290)</f>
        <v>6.7157999999999998</v>
      </c>
      <c r="F290" s="63">
        <f t="shared" ref="F290:F315" si="11">IFERROR(C290/D290,"-")</f>
        <v>2.0274725274725274</v>
      </c>
      <c r="G290" s="36"/>
      <c r="H290" s="24" t="s">
        <v>45</v>
      </c>
      <c r="I290" s="68">
        <f>IFERROR(INDEX(C290:C315,MATCH("open",B290:B315,0)),"-")</f>
        <v>21.88</v>
      </c>
      <c r="J290" s="36"/>
      <c r="K290" s="69">
        <f>IF(ISNUMBER(I291),0,NA())</f>
        <v>0</v>
      </c>
      <c r="L290" s="70">
        <f>IF(ISNUMBER(I291),MIN(I291,$L$22),NA())</f>
        <v>1.8406145251396648</v>
      </c>
      <c r="M290" s="36"/>
      <c r="N290" s="36"/>
      <c r="O290" s="36"/>
      <c r="P290" s="36"/>
      <c r="Q290" s="36"/>
      <c r="R290" s="36"/>
      <c r="S290" s="36"/>
      <c r="T290" s="36"/>
      <c r="U290" s="36"/>
    </row>
    <row r="291" spans="1:21" ht="29" customHeight="1" x14ac:dyDescent="0.2">
      <c r="A291" s="65">
        <v>2</v>
      </c>
      <c r="B291" s="61">
        <v>3</v>
      </c>
      <c r="C291" s="66">
        <v>5.48</v>
      </c>
      <c r="D291" s="66">
        <v>1.81</v>
      </c>
      <c r="E291" s="67">
        <f t="shared" si="10"/>
        <v>9.9188000000000009</v>
      </c>
      <c r="F291" s="63">
        <f t="shared" si="11"/>
        <v>3.0276243093922655</v>
      </c>
      <c r="G291" s="36"/>
      <c r="H291" s="56" t="s">
        <v>46</v>
      </c>
      <c r="I291" s="71">
        <f>IFERROR(D290-C290*(D291-D290)/(C291-C290),"-")</f>
        <v>1.8406145251396648</v>
      </c>
      <c r="J291" s="36"/>
      <c r="K291" s="69">
        <f>IF(ISNUMBER(C290),C290,NA())</f>
        <v>3.69</v>
      </c>
      <c r="L291" s="70">
        <f>IF(ISNUMBER(D290),D290,NA())</f>
        <v>1.82</v>
      </c>
      <c r="M291" s="36"/>
      <c r="N291" s="36"/>
      <c r="O291" s="36"/>
      <c r="P291" s="36"/>
      <c r="Q291" s="36"/>
      <c r="R291" s="36"/>
      <c r="S291" s="36"/>
      <c r="T291" s="36"/>
      <c r="U291" s="36"/>
    </row>
    <row r="292" spans="1:21" ht="14.75" customHeight="1" x14ac:dyDescent="0.2">
      <c r="A292" s="65">
        <v>3</v>
      </c>
      <c r="B292" s="61">
        <v>4</v>
      </c>
      <c r="C292" s="66">
        <v>7.24</v>
      </c>
      <c r="D292" s="66">
        <v>1.81</v>
      </c>
      <c r="E292" s="67">
        <f t="shared" si="10"/>
        <v>13.1044</v>
      </c>
      <c r="F292" s="63">
        <f t="shared" si="11"/>
        <v>4</v>
      </c>
      <c r="G292" s="36"/>
      <c r="H292" s="56" t="s">
        <v>47</v>
      </c>
      <c r="I292" s="71">
        <f>IFERROR(MAX(E290:E315),"-")</f>
        <v>32.199299999999994</v>
      </c>
      <c r="J292" s="36"/>
      <c r="K292" s="36" t="s">
        <v>48</v>
      </c>
      <c r="L292" s="36" t="str">
        <f>IF(NOT(ISNUMBER(I291)),"",IF(I291&gt;$L$22,"Yes","No"))</f>
        <v>Yes</v>
      </c>
      <c r="M292" s="36"/>
      <c r="N292" s="36"/>
      <c r="O292" s="36"/>
      <c r="P292" s="36"/>
      <c r="Q292" s="36"/>
      <c r="R292" s="36"/>
      <c r="S292" s="36"/>
      <c r="T292" s="36"/>
      <c r="U292" s="36"/>
    </row>
    <row r="293" spans="1:21" ht="14.75" customHeight="1" x14ac:dyDescent="0.2">
      <c r="A293" s="65">
        <v>4</v>
      </c>
      <c r="B293" s="61">
        <v>5</v>
      </c>
      <c r="C293" s="66">
        <v>9.02</v>
      </c>
      <c r="D293" s="66">
        <v>1.8</v>
      </c>
      <c r="E293" s="67">
        <f t="shared" si="10"/>
        <v>16.236000000000001</v>
      </c>
      <c r="F293" s="63">
        <f t="shared" si="11"/>
        <v>5.0111111111111111</v>
      </c>
      <c r="G293" s="36"/>
      <c r="H293" s="56" t="s">
        <v>49</v>
      </c>
      <c r="I293" s="67">
        <f>IFERROR(INDEX(C290:C315,MATCH(I292,E290:E315,0)),"-")</f>
        <v>18.829999999999998</v>
      </c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</row>
    <row r="294" spans="1:21" ht="14.75" customHeight="1" x14ac:dyDescent="0.2">
      <c r="A294" s="65">
        <v>5</v>
      </c>
      <c r="B294" s="61">
        <v>6</v>
      </c>
      <c r="C294" s="66">
        <v>10.83</v>
      </c>
      <c r="D294" s="66">
        <v>1.8</v>
      </c>
      <c r="E294" s="67">
        <f t="shared" si="10"/>
        <v>19.494</v>
      </c>
      <c r="F294" s="63">
        <f t="shared" si="11"/>
        <v>6.0166666666666666</v>
      </c>
      <c r="G294" s="36"/>
      <c r="H294" s="56" t="s">
        <v>50</v>
      </c>
      <c r="I294" s="67">
        <f>IFERROR(INDEX(D290:D315,MATCH(I292,E290:E315,0)),"-")</f>
        <v>1.71</v>
      </c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</row>
    <row r="295" spans="1:21" ht="14.75" customHeight="1" x14ac:dyDescent="0.2">
      <c r="A295" s="65">
        <v>6</v>
      </c>
      <c r="B295" s="61">
        <v>7</v>
      </c>
      <c r="C295" s="66">
        <v>12.57</v>
      </c>
      <c r="D295" s="66">
        <v>1.79</v>
      </c>
      <c r="E295" s="67">
        <f t="shared" si="10"/>
        <v>22.500299999999999</v>
      </c>
      <c r="F295" s="63">
        <f t="shared" si="11"/>
        <v>7.022346368715084</v>
      </c>
      <c r="G295" s="36"/>
      <c r="H295" s="56" t="s">
        <v>51</v>
      </c>
      <c r="I295" s="72">
        <f>IFERROR(I293/I294,"-")</f>
        <v>11.011695906432747</v>
      </c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</row>
    <row r="296" spans="1:21" ht="14.75" customHeight="1" x14ac:dyDescent="0.2">
      <c r="A296" s="65">
        <v>7</v>
      </c>
      <c r="B296" s="61">
        <v>8</v>
      </c>
      <c r="C296" s="66">
        <v>14.33</v>
      </c>
      <c r="D296" s="66">
        <v>1.79</v>
      </c>
      <c r="E296" s="67">
        <f t="shared" si="10"/>
        <v>25.650700000000001</v>
      </c>
      <c r="F296" s="63">
        <f t="shared" si="11"/>
        <v>8.005586592178771</v>
      </c>
      <c r="G296" s="36"/>
      <c r="H296" s="56" t="s">
        <v>52</v>
      </c>
      <c r="I296" s="72">
        <f>IFERROR(I292/(I290*I291),"-")</f>
        <v>0.79953276851653987</v>
      </c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</row>
    <row r="297" spans="1:21" ht="29" customHeight="1" x14ac:dyDescent="0.2">
      <c r="A297" s="65">
        <v>8</v>
      </c>
      <c r="B297" s="61">
        <v>9</v>
      </c>
      <c r="C297" s="66">
        <v>16.13</v>
      </c>
      <c r="D297" s="66">
        <v>1.79</v>
      </c>
      <c r="E297" s="67">
        <f t="shared" si="10"/>
        <v>28.872699999999998</v>
      </c>
      <c r="F297" s="63">
        <f t="shared" si="11"/>
        <v>9.011173184357542</v>
      </c>
      <c r="G297" s="36"/>
      <c r="H297" s="56" t="s">
        <v>53</v>
      </c>
      <c r="I297" s="73">
        <f>COUNT(D290:D315)</f>
        <v>26</v>
      </c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</row>
    <row r="298" spans="1:21" ht="14.75" customHeight="1" x14ac:dyDescent="0.2">
      <c r="A298" s="65">
        <v>9</v>
      </c>
      <c r="B298" s="61">
        <v>10</v>
      </c>
      <c r="C298" s="66">
        <v>17.96</v>
      </c>
      <c r="D298" s="66">
        <v>1.79</v>
      </c>
      <c r="E298" s="67">
        <f t="shared" si="10"/>
        <v>32.148400000000002</v>
      </c>
      <c r="F298" s="63">
        <f t="shared" si="11"/>
        <v>10.033519553072626</v>
      </c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</row>
    <row r="299" spans="1:21" ht="14.75" customHeight="1" x14ac:dyDescent="0.2">
      <c r="A299" s="65">
        <v>10</v>
      </c>
      <c r="B299" s="61">
        <v>11</v>
      </c>
      <c r="C299" s="66">
        <v>18.829999999999998</v>
      </c>
      <c r="D299" s="66">
        <v>1.71</v>
      </c>
      <c r="E299" s="67">
        <f t="shared" si="10"/>
        <v>32.199299999999994</v>
      </c>
      <c r="F299" s="63">
        <f t="shared" si="11"/>
        <v>11.011695906432747</v>
      </c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</row>
    <row r="300" spans="1:21" ht="14.75" customHeight="1" x14ac:dyDescent="0.2">
      <c r="A300" s="65">
        <v>11</v>
      </c>
      <c r="B300" s="61">
        <v>12</v>
      </c>
      <c r="C300" s="66">
        <v>19.28</v>
      </c>
      <c r="D300" s="66">
        <v>1.61</v>
      </c>
      <c r="E300" s="67">
        <f t="shared" si="10"/>
        <v>31.040800000000004</v>
      </c>
      <c r="F300" s="63">
        <f t="shared" si="11"/>
        <v>11.975155279503106</v>
      </c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</row>
    <row r="301" spans="1:21" ht="14.75" customHeight="1" x14ac:dyDescent="0.2">
      <c r="A301" s="65">
        <v>12</v>
      </c>
      <c r="B301" s="61">
        <v>13</v>
      </c>
      <c r="C301" s="66">
        <v>19.579999999999998</v>
      </c>
      <c r="D301" s="66">
        <v>1.51</v>
      </c>
      <c r="E301" s="67">
        <f t="shared" si="10"/>
        <v>29.565799999999996</v>
      </c>
      <c r="F301" s="63">
        <f t="shared" si="11"/>
        <v>12.966887417218542</v>
      </c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</row>
    <row r="302" spans="1:21" ht="14.75" customHeight="1" x14ac:dyDescent="0.2">
      <c r="A302" s="65">
        <v>13</v>
      </c>
      <c r="B302" s="61">
        <v>14</v>
      </c>
      <c r="C302" s="66">
        <v>19.82</v>
      </c>
      <c r="D302" s="66">
        <v>1.42</v>
      </c>
      <c r="E302" s="67">
        <f t="shared" si="10"/>
        <v>28.144399999999997</v>
      </c>
      <c r="F302" s="63">
        <f t="shared" si="11"/>
        <v>13.95774647887324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</row>
    <row r="303" spans="1:21" ht="14.75" customHeight="1" x14ac:dyDescent="0.2">
      <c r="A303" s="65">
        <v>14</v>
      </c>
      <c r="B303" s="61">
        <v>16</v>
      </c>
      <c r="C303" s="66">
        <v>20.18</v>
      </c>
      <c r="D303" s="66">
        <v>1.26</v>
      </c>
      <c r="E303" s="67">
        <f t="shared" si="10"/>
        <v>25.4268</v>
      </c>
      <c r="F303" s="63">
        <f t="shared" si="11"/>
        <v>16.015873015873016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</row>
    <row r="304" spans="1:21" ht="14.75" customHeight="1" x14ac:dyDescent="0.2">
      <c r="A304" s="65">
        <v>15</v>
      </c>
      <c r="B304" s="61">
        <v>18</v>
      </c>
      <c r="C304" s="66">
        <v>20.420000000000002</v>
      </c>
      <c r="D304" s="66">
        <v>1.1399999999999999</v>
      </c>
      <c r="E304" s="67">
        <f t="shared" si="10"/>
        <v>23.2788</v>
      </c>
      <c r="F304" s="63">
        <f t="shared" si="11"/>
        <v>17.912280701754391</v>
      </c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</row>
    <row r="305" spans="1:21" ht="14.75" customHeight="1" x14ac:dyDescent="0.2">
      <c r="A305" s="65">
        <v>16</v>
      </c>
      <c r="B305" s="61">
        <v>20</v>
      </c>
      <c r="C305" s="66">
        <v>20.59</v>
      </c>
      <c r="D305" s="66">
        <v>1.03</v>
      </c>
      <c r="E305" s="67">
        <f t="shared" si="10"/>
        <v>21.207699999999999</v>
      </c>
      <c r="F305" s="63">
        <f t="shared" si="11"/>
        <v>19.990291262135923</v>
      </c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</row>
    <row r="306" spans="1:21" ht="14.75" customHeight="1" x14ac:dyDescent="0.2">
      <c r="A306" s="65">
        <v>17</v>
      </c>
      <c r="B306" s="61">
        <v>24</v>
      </c>
      <c r="C306" s="66">
        <v>20.84</v>
      </c>
      <c r="D306" s="66">
        <v>0.87</v>
      </c>
      <c r="E306" s="67">
        <f t="shared" si="10"/>
        <v>18.130800000000001</v>
      </c>
      <c r="F306" s="63">
        <f t="shared" si="11"/>
        <v>23.954022988505749</v>
      </c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</row>
    <row r="307" spans="1:21" ht="14.75" customHeight="1" x14ac:dyDescent="0.2">
      <c r="A307" s="65">
        <v>18</v>
      </c>
      <c r="B307" s="61">
        <v>28</v>
      </c>
      <c r="C307" s="66">
        <v>21.01</v>
      </c>
      <c r="D307" s="66">
        <v>0.75</v>
      </c>
      <c r="E307" s="67">
        <f t="shared" si="10"/>
        <v>15.7575</v>
      </c>
      <c r="F307" s="63">
        <f t="shared" si="11"/>
        <v>28.013333333333335</v>
      </c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</row>
    <row r="308" spans="1:21" ht="14.75" customHeight="1" x14ac:dyDescent="0.2">
      <c r="A308" s="65">
        <v>19</v>
      </c>
      <c r="B308" s="61">
        <v>33</v>
      </c>
      <c r="C308" s="66">
        <v>21.15</v>
      </c>
      <c r="D308" s="66">
        <v>0.68</v>
      </c>
      <c r="E308" s="67">
        <f t="shared" si="10"/>
        <v>14.382</v>
      </c>
      <c r="F308" s="63">
        <f t="shared" si="11"/>
        <v>31.102941176470583</v>
      </c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</row>
    <row r="309" spans="1:21" ht="14.75" customHeight="1" x14ac:dyDescent="0.2">
      <c r="A309" s="65">
        <v>20</v>
      </c>
      <c r="B309" s="61">
        <v>40</v>
      </c>
      <c r="C309" s="66">
        <v>21.29</v>
      </c>
      <c r="D309" s="66">
        <v>0.57999999999999996</v>
      </c>
      <c r="E309" s="67">
        <f t="shared" si="10"/>
        <v>12.348199999999999</v>
      </c>
      <c r="F309" s="63">
        <f t="shared" si="11"/>
        <v>36.706896551724142</v>
      </c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</row>
    <row r="310" spans="1:21" ht="14.75" customHeight="1" x14ac:dyDescent="0.2">
      <c r="A310" s="65">
        <v>21</v>
      </c>
      <c r="B310" s="61">
        <v>50</v>
      </c>
      <c r="C310" s="66">
        <v>21.41</v>
      </c>
      <c r="D310" s="66">
        <v>0.43</v>
      </c>
      <c r="E310" s="67">
        <f t="shared" si="10"/>
        <v>9.2063000000000006</v>
      </c>
      <c r="F310" s="63">
        <f t="shared" si="11"/>
        <v>49.790697674418603</v>
      </c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</row>
    <row r="311" spans="1:21" ht="14.75" customHeight="1" x14ac:dyDescent="0.2">
      <c r="A311" s="65">
        <v>22</v>
      </c>
      <c r="B311" s="61">
        <v>70</v>
      </c>
      <c r="C311" s="66">
        <v>21.56</v>
      </c>
      <c r="D311" s="66">
        <v>0.31</v>
      </c>
      <c r="E311" s="67">
        <f t="shared" si="10"/>
        <v>6.6835999999999993</v>
      </c>
      <c r="F311" s="63">
        <f t="shared" si="11"/>
        <v>69.548387096774192</v>
      </c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</row>
    <row r="312" spans="1:21" ht="14.75" customHeight="1" x14ac:dyDescent="0.2">
      <c r="A312" s="65">
        <v>23</v>
      </c>
      <c r="B312" s="61">
        <v>110</v>
      </c>
      <c r="C312" s="66">
        <v>21.68</v>
      </c>
      <c r="D312" s="66">
        <v>0.2</v>
      </c>
      <c r="E312" s="67">
        <f t="shared" si="10"/>
        <v>4.3360000000000003</v>
      </c>
      <c r="F312" s="63">
        <f t="shared" si="11"/>
        <v>108.39999999999999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</row>
    <row r="313" spans="1:21" ht="14.75" customHeight="1" x14ac:dyDescent="0.2">
      <c r="A313" s="65">
        <v>24</v>
      </c>
      <c r="B313" s="61">
        <v>200</v>
      </c>
      <c r="C313" s="66">
        <v>21.77</v>
      </c>
      <c r="D313" s="66">
        <v>0.11</v>
      </c>
      <c r="E313" s="67">
        <f t="shared" si="10"/>
        <v>2.3946999999999998</v>
      </c>
      <c r="F313" s="63">
        <f t="shared" si="11"/>
        <v>197.90909090909091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</row>
    <row r="314" spans="1:21" ht="14.75" customHeight="1" x14ac:dyDescent="0.2">
      <c r="A314" s="65">
        <v>25</v>
      </c>
      <c r="B314" s="61">
        <v>400</v>
      </c>
      <c r="C314" s="66">
        <v>21.82</v>
      </c>
      <c r="D314" s="66">
        <v>0.05</v>
      </c>
      <c r="E314" s="67">
        <f t="shared" si="10"/>
        <v>1.091</v>
      </c>
      <c r="F314" s="63">
        <f t="shared" si="11"/>
        <v>436.4</v>
      </c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</row>
    <row r="315" spans="1:21" ht="14.75" customHeight="1" x14ac:dyDescent="0.2">
      <c r="A315" s="65">
        <v>26</v>
      </c>
      <c r="B315" s="61" t="s">
        <v>54</v>
      </c>
      <c r="C315" s="66">
        <v>21.88</v>
      </c>
      <c r="D315" s="66">
        <v>0</v>
      </c>
      <c r="E315" s="67">
        <f t="shared" si="10"/>
        <v>0</v>
      </c>
      <c r="F315" s="63" t="str">
        <f t="shared" si="11"/>
        <v>-</v>
      </c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</row>
    <row r="316" spans="1:21" ht="14.7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</row>
    <row r="317" spans="1:21" ht="14.75" customHeight="1" x14ac:dyDescent="0.2">
      <c r="A317" s="81" t="s">
        <v>55</v>
      </c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36"/>
      <c r="Q317" s="36"/>
      <c r="R317" s="36"/>
      <c r="S317" s="36"/>
      <c r="T317" s="36"/>
      <c r="U317" s="36"/>
    </row>
    <row r="318" spans="1:21" ht="14.7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</row>
  </sheetData>
  <mergeCells count="66">
    <mergeCell ref="I276:L276"/>
    <mergeCell ref="A285:O285"/>
    <mergeCell ref="A288:F288"/>
    <mergeCell ref="H288:I288"/>
    <mergeCell ref="A317:O317"/>
    <mergeCell ref="A276:D276"/>
    <mergeCell ref="A270:B270"/>
    <mergeCell ref="B271:D271"/>
    <mergeCell ref="B272:D272"/>
    <mergeCell ref="B273:D273"/>
    <mergeCell ref="B274:D274"/>
    <mergeCell ref="A264:O264"/>
    <mergeCell ref="A211:O211"/>
    <mergeCell ref="A217:B217"/>
    <mergeCell ref="B218:D218"/>
    <mergeCell ref="B219:D219"/>
    <mergeCell ref="B220:D220"/>
    <mergeCell ref="B221:D221"/>
    <mergeCell ref="A223:D223"/>
    <mergeCell ref="I223:L223"/>
    <mergeCell ref="A232:O232"/>
    <mergeCell ref="A235:F235"/>
    <mergeCell ref="H235:I235"/>
    <mergeCell ref="A182:F182"/>
    <mergeCell ref="H182:I182"/>
    <mergeCell ref="A129:F129"/>
    <mergeCell ref="H129:I129"/>
    <mergeCell ref="A158:O158"/>
    <mergeCell ref="A164:B164"/>
    <mergeCell ref="B165:D165"/>
    <mergeCell ref="B166:D166"/>
    <mergeCell ref="B167:D167"/>
    <mergeCell ref="B168:D168"/>
    <mergeCell ref="A170:D170"/>
    <mergeCell ref="I170:L170"/>
    <mergeCell ref="A179:O179"/>
    <mergeCell ref="A126:O126"/>
    <mergeCell ref="A73:O73"/>
    <mergeCell ref="A76:F76"/>
    <mergeCell ref="H76:I76"/>
    <mergeCell ref="A105:O105"/>
    <mergeCell ref="A111:B111"/>
    <mergeCell ref="B112:D112"/>
    <mergeCell ref="B113:D113"/>
    <mergeCell ref="B114:D114"/>
    <mergeCell ref="B115:D115"/>
    <mergeCell ref="A117:D117"/>
    <mergeCell ref="I117:L117"/>
    <mergeCell ref="I64:L64"/>
    <mergeCell ref="I11:L11"/>
    <mergeCell ref="A20:O20"/>
    <mergeCell ref="A23:F23"/>
    <mergeCell ref="H23:I23"/>
    <mergeCell ref="A52:O52"/>
    <mergeCell ref="A58:B58"/>
    <mergeCell ref="A11:D11"/>
    <mergeCell ref="B59:D59"/>
    <mergeCell ref="B60:D60"/>
    <mergeCell ref="B61:D61"/>
    <mergeCell ref="B62:D62"/>
    <mergeCell ref="A64:D64"/>
    <mergeCell ref="A5:B5"/>
    <mergeCell ref="B6:D6"/>
    <mergeCell ref="B7:D7"/>
    <mergeCell ref="B8:D8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PV indoor-panel control  (2)</vt:lpstr>
      <vt:lpstr>PV Lab Data-panel control</vt:lpstr>
      <vt:lpstr>PV lab data-panel sunlight</vt:lpstr>
      <vt:lpstr>Sheet1</vt:lpstr>
      <vt:lpstr>PV indoor-panel control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Pearl Mothiba</cp:lastModifiedBy>
  <cp:revision>1</cp:revision>
  <dcterms:created xsi:type="dcterms:W3CDTF">2026-09-08T10:15:42Z</dcterms:created>
  <dcterms:modified xsi:type="dcterms:W3CDTF">2026-10-29T07:44:04Z</dcterms:modified>
  <cp:category/>
  <cp:contentStatus/>
</cp:coreProperties>
</file>