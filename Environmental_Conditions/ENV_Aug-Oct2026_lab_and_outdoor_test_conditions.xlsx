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"/>
    </mc:Choice>
  </mc:AlternateContent>
  <xr:revisionPtr revIDLastSave="0" documentId="13_ncr:1_{8038A3EA-5F5C-1340-891B-42E335AD31E4}" xr6:coauthVersionLast="47" xr6:coauthVersionMax="47" xr10:uidLastSave="{00000000-0000-0000-0000-000000000000}"/>
  <bookViews>
    <workbookView xWindow="2220" yWindow="740" windowWidth="29400" windowHeight="16780" firstSheet="6" activeTab="14" xr2:uid="{00000000-000D-0000-FFFF-FFFF00000000}"/>
  </bookViews>
  <sheets>
    <sheet name="Lab Test Data Grids" sheetId="1" r:id="rId1"/>
    <sheet name="Master Raw Data Log" sheetId="2" r:id="rId2"/>
    <sheet name="Sheet1" sheetId="3" r:id="rId3"/>
    <sheet name="Env 01 Sep 2026" sheetId="4" r:id="rId4"/>
    <sheet name="Env 02 Sep 26" sheetId="5" r:id="rId5"/>
    <sheet name="Env 07 Sep 2026" sheetId="6" r:id="rId6"/>
    <sheet name="Env 17 Sep 2026" sheetId="10" r:id="rId7"/>
    <sheet name="Env 18 Sep 2026" sheetId="11" r:id="rId8"/>
    <sheet name="Env 22 Sep 2026 " sheetId="13" r:id="rId9"/>
    <sheet name="Env 23 Sep 2026 " sheetId="14" r:id="rId10"/>
    <sheet name="Env 25Sep 2026" sheetId="15" r:id="rId11"/>
    <sheet name="Env 28 Sep 2026" sheetId="18" r:id="rId12"/>
    <sheet name="Env 30 Sep" sheetId="19" r:id="rId13"/>
    <sheet name="Env 30 Sep " sheetId="20" r:id="rId14"/>
    <sheet name="Env 1 October " sheetId="21" r:id="rId15"/>
    <sheet name="Env 2Oct" sheetId="22" r:id="rId16"/>
    <sheet name="Env 05Oct" sheetId="23" r:id="rId17"/>
    <sheet name="Env 06Oct " sheetId="24" r:id="rId18"/>
    <sheet name="Env 07Oct " sheetId="25" r:id="rId19"/>
    <sheet name="Env 08Oct" sheetId="26" r:id="rId20"/>
    <sheet name="Env 09Oct" sheetId="29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9" l="1"/>
  <c r="G27" i="29"/>
  <c r="O25" i="29"/>
  <c r="G25" i="29"/>
  <c r="O24" i="29"/>
  <c r="G24" i="29"/>
  <c r="O23" i="29"/>
  <c r="G23" i="29"/>
  <c r="O12" i="29"/>
  <c r="G12" i="29"/>
  <c r="O10" i="29"/>
  <c r="G10" i="29"/>
  <c r="O9" i="29"/>
  <c r="G9" i="29"/>
  <c r="O8" i="29"/>
  <c r="G8" i="29"/>
  <c r="O12" i="26"/>
  <c r="G12" i="26"/>
  <c r="O10" i="26"/>
  <c r="G10" i="26"/>
  <c r="O9" i="26"/>
  <c r="G9" i="26"/>
  <c r="O8" i="26"/>
  <c r="G8" i="26"/>
  <c r="G26" i="29" l="1"/>
  <c r="O26" i="29"/>
  <c r="G11" i="29"/>
  <c r="O11" i="29"/>
  <c r="O11" i="26"/>
  <c r="G11" i="26"/>
  <c r="O10" i="25"/>
  <c r="G10" i="25"/>
  <c r="O8" i="25"/>
  <c r="G8" i="25"/>
  <c r="G9" i="25" s="1"/>
  <c r="O7" i="25"/>
  <c r="G7" i="25"/>
  <c r="O6" i="25"/>
  <c r="G6" i="25"/>
  <c r="O10" i="24"/>
  <c r="G10" i="24"/>
  <c r="O8" i="24"/>
  <c r="G8" i="24"/>
  <c r="O7" i="24"/>
  <c r="G7" i="24"/>
  <c r="O6" i="24"/>
  <c r="G6" i="24"/>
  <c r="O8" i="23"/>
  <c r="G8" i="23"/>
  <c r="O6" i="23"/>
  <c r="G6" i="23"/>
  <c r="O5" i="23"/>
  <c r="G5" i="23"/>
  <c r="O4" i="23"/>
  <c r="G4" i="23"/>
  <c r="O11" i="22"/>
  <c r="G11" i="22"/>
  <c r="O9" i="22"/>
  <c r="G9" i="22"/>
  <c r="O8" i="22"/>
  <c r="G8" i="22"/>
  <c r="O7" i="22"/>
  <c r="G7" i="22"/>
  <c r="O24" i="21"/>
  <c r="G24" i="21"/>
  <c r="O22" i="21"/>
  <c r="G22" i="21"/>
  <c r="O21" i="21"/>
  <c r="G21" i="21"/>
  <c r="O20" i="21"/>
  <c r="G20" i="21"/>
  <c r="O11" i="21"/>
  <c r="G11" i="21"/>
  <c r="O9" i="21"/>
  <c r="G9" i="21"/>
  <c r="O8" i="21"/>
  <c r="G8" i="21"/>
  <c r="O7" i="21"/>
  <c r="G7" i="21"/>
  <c r="O33" i="20"/>
  <c r="G33" i="20"/>
  <c r="O31" i="20"/>
  <c r="G31" i="20"/>
  <c r="O30" i="20"/>
  <c r="G30" i="20"/>
  <c r="O29" i="20"/>
  <c r="G29" i="20"/>
  <c r="O21" i="20"/>
  <c r="G21" i="20"/>
  <c r="O19" i="20"/>
  <c r="G19" i="20"/>
  <c r="O18" i="20"/>
  <c r="G18" i="20"/>
  <c r="O17" i="20"/>
  <c r="G17" i="20"/>
  <c r="O9" i="20"/>
  <c r="G9" i="20"/>
  <c r="O7" i="20"/>
  <c r="G7" i="20"/>
  <c r="O6" i="20"/>
  <c r="G6" i="20"/>
  <c r="O5" i="20"/>
  <c r="G5" i="20"/>
  <c r="O22" i="19"/>
  <c r="G22" i="19"/>
  <c r="O20" i="19"/>
  <c r="G20" i="19"/>
  <c r="O19" i="19"/>
  <c r="G19" i="19"/>
  <c r="O18" i="19"/>
  <c r="G18" i="19"/>
  <c r="O9" i="19"/>
  <c r="G9" i="19"/>
  <c r="O7" i="19"/>
  <c r="G7" i="19"/>
  <c r="O6" i="19"/>
  <c r="G6" i="19"/>
  <c r="O5" i="19"/>
  <c r="G5" i="19"/>
  <c r="O83" i="18"/>
  <c r="G83" i="18"/>
  <c r="O81" i="18"/>
  <c r="G81" i="18"/>
  <c r="G82" i="18" s="1"/>
  <c r="O80" i="18"/>
  <c r="G80" i="18"/>
  <c r="O79" i="18"/>
  <c r="G79" i="18"/>
  <c r="O70" i="18"/>
  <c r="G70" i="18"/>
  <c r="O68" i="18"/>
  <c r="G68" i="18"/>
  <c r="O67" i="18"/>
  <c r="G67" i="18"/>
  <c r="O66" i="18"/>
  <c r="G66" i="18"/>
  <c r="O53" i="18"/>
  <c r="G53" i="18"/>
  <c r="G41" i="18"/>
  <c r="O41" i="18"/>
  <c r="O33" i="18"/>
  <c r="G33" i="18"/>
  <c r="O31" i="18"/>
  <c r="G31" i="18"/>
  <c r="O30" i="18"/>
  <c r="G30" i="18"/>
  <c r="O29" i="18"/>
  <c r="G29" i="18"/>
  <c r="O21" i="18"/>
  <c r="G21" i="18"/>
  <c r="O19" i="18"/>
  <c r="O20" i="18" s="1"/>
  <c r="G19" i="18"/>
  <c r="O18" i="18"/>
  <c r="G18" i="18"/>
  <c r="O17" i="18"/>
  <c r="G17" i="18"/>
  <c r="O9" i="18"/>
  <c r="G9" i="18"/>
  <c r="O7" i="18"/>
  <c r="G7" i="18"/>
  <c r="O6" i="18"/>
  <c r="G6" i="18"/>
  <c r="O5" i="18"/>
  <c r="G5" i="18"/>
  <c r="O9" i="25" l="1"/>
  <c r="G9" i="24"/>
  <c r="O9" i="24"/>
  <c r="O7" i="23"/>
  <c r="G7" i="23"/>
  <c r="G10" i="22"/>
  <c r="O10" i="22"/>
  <c r="G23" i="21"/>
  <c r="O23" i="21"/>
  <c r="G10" i="21"/>
  <c r="O10" i="21"/>
  <c r="G32" i="20"/>
  <c r="O32" i="20"/>
  <c r="G20" i="20"/>
  <c r="O20" i="20"/>
  <c r="G8" i="20"/>
  <c r="O8" i="20"/>
  <c r="G21" i="19"/>
  <c r="O21" i="19"/>
  <c r="O8" i="19"/>
  <c r="G8" i="19"/>
  <c r="O82" i="18"/>
  <c r="O69" i="18"/>
  <c r="G69" i="18"/>
  <c r="G32" i="18"/>
  <c r="O32" i="18"/>
  <c r="G20" i="18"/>
  <c r="O8" i="18"/>
  <c r="G8" i="18"/>
  <c r="O52" i="15"/>
  <c r="G52" i="15"/>
  <c r="O50" i="15"/>
  <c r="G50" i="15"/>
  <c r="O49" i="15"/>
  <c r="G49" i="15"/>
  <c r="O48" i="15"/>
  <c r="G48" i="15"/>
  <c r="O63" i="14"/>
  <c r="G63" i="14"/>
  <c r="O61" i="14"/>
  <c r="G61" i="14"/>
  <c r="O60" i="14"/>
  <c r="G60" i="14"/>
  <c r="O59" i="14"/>
  <c r="G59" i="14"/>
  <c r="O39" i="15"/>
  <c r="G39" i="15"/>
  <c r="O37" i="15"/>
  <c r="G37" i="15"/>
  <c r="O36" i="15"/>
  <c r="G36" i="15"/>
  <c r="O35" i="15"/>
  <c r="G35" i="15"/>
  <c r="O26" i="15"/>
  <c r="G26" i="15"/>
  <c r="O24" i="15"/>
  <c r="G24" i="15"/>
  <c r="O23" i="15"/>
  <c r="G23" i="15"/>
  <c r="O22" i="15"/>
  <c r="G22" i="15"/>
  <c r="O11" i="15"/>
  <c r="G11" i="15"/>
  <c r="O9" i="15"/>
  <c r="G9" i="15"/>
  <c r="O8" i="15"/>
  <c r="G8" i="15"/>
  <c r="O7" i="15"/>
  <c r="G7" i="15"/>
  <c r="O50" i="14"/>
  <c r="G50" i="14"/>
  <c r="O48" i="14"/>
  <c r="G48" i="14"/>
  <c r="O47" i="14"/>
  <c r="G47" i="14"/>
  <c r="O46" i="14"/>
  <c r="G46" i="14"/>
  <c r="O38" i="14"/>
  <c r="G38" i="14"/>
  <c r="O36" i="14"/>
  <c r="G36" i="14"/>
  <c r="O35" i="14"/>
  <c r="G35" i="14"/>
  <c r="O34" i="14"/>
  <c r="G34" i="14"/>
  <c r="O25" i="14"/>
  <c r="G25" i="14"/>
  <c r="O23" i="14"/>
  <c r="G23" i="14"/>
  <c r="O22" i="14"/>
  <c r="G22" i="14"/>
  <c r="O21" i="14"/>
  <c r="G21" i="14"/>
  <c r="O11" i="14"/>
  <c r="G11" i="14"/>
  <c r="O9" i="14"/>
  <c r="G9" i="14"/>
  <c r="O8" i="14"/>
  <c r="G8" i="14"/>
  <c r="O7" i="14"/>
  <c r="G7" i="14"/>
  <c r="O54" i="13"/>
  <c r="G54" i="13"/>
  <c r="O52" i="13"/>
  <c r="G52" i="13"/>
  <c r="O51" i="13"/>
  <c r="G51" i="13"/>
  <c r="O50" i="13"/>
  <c r="G50" i="13"/>
  <c r="O40" i="13"/>
  <c r="G40" i="13"/>
  <c r="O38" i="13"/>
  <c r="G38" i="13"/>
  <c r="O37" i="13"/>
  <c r="G37" i="13"/>
  <c r="O36" i="13"/>
  <c r="G36" i="13"/>
  <c r="O25" i="13"/>
  <c r="G25" i="13"/>
  <c r="O23" i="13"/>
  <c r="G23" i="13"/>
  <c r="O22" i="13"/>
  <c r="G22" i="13"/>
  <c r="O21" i="13"/>
  <c r="G21" i="13"/>
  <c r="O11" i="13"/>
  <c r="G11" i="13"/>
  <c r="O9" i="13"/>
  <c r="G9" i="13"/>
  <c r="O8" i="13"/>
  <c r="G8" i="13"/>
  <c r="O7" i="13"/>
  <c r="G7" i="13"/>
  <c r="O26" i="11"/>
  <c r="G26" i="11"/>
  <c r="O24" i="11"/>
  <c r="G24" i="11"/>
  <c r="O23" i="11"/>
  <c r="G23" i="11"/>
  <c r="O22" i="11"/>
  <c r="G22" i="11"/>
  <c r="O12" i="11"/>
  <c r="G12" i="11"/>
  <c r="O10" i="11"/>
  <c r="G10" i="11"/>
  <c r="O9" i="11"/>
  <c r="G9" i="11"/>
  <c r="O8" i="11"/>
  <c r="G8" i="11"/>
  <c r="O53" i="10"/>
  <c r="G53" i="10"/>
  <c r="O51" i="10"/>
  <c r="O52" i="10" s="1"/>
  <c r="G51" i="10"/>
  <c r="G52" i="10" s="1"/>
  <c r="O50" i="10"/>
  <c r="G50" i="10"/>
  <c r="O49" i="10"/>
  <c r="G49" i="10"/>
  <c r="O39" i="10"/>
  <c r="G39" i="10"/>
  <c r="O37" i="10"/>
  <c r="G37" i="10"/>
  <c r="O36" i="10"/>
  <c r="G36" i="10"/>
  <c r="O35" i="10"/>
  <c r="G35" i="10"/>
  <c r="O25" i="10"/>
  <c r="G25" i="10"/>
  <c r="O23" i="10"/>
  <c r="G23" i="10"/>
  <c r="O22" i="10"/>
  <c r="G22" i="10"/>
  <c r="O21" i="10"/>
  <c r="G21" i="10"/>
  <c r="O12" i="10"/>
  <c r="G12" i="10"/>
  <c r="O10" i="10"/>
  <c r="G10" i="10"/>
  <c r="O9" i="10"/>
  <c r="G9" i="10"/>
  <c r="O8" i="10"/>
  <c r="G8" i="10"/>
  <c r="O60" i="6"/>
  <c r="G60" i="6"/>
  <c r="O58" i="6"/>
  <c r="G58" i="6"/>
  <c r="O57" i="6"/>
  <c r="G57" i="6"/>
  <c r="O56" i="6"/>
  <c r="G56" i="6"/>
  <c r="O45" i="6"/>
  <c r="G45" i="6"/>
  <c r="O43" i="6"/>
  <c r="G43" i="6"/>
  <c r="O42" i="6"/>
  <c r="G42" i="6"/>
  <c r="O41" i="6"/>
  <c r="G41" i="6"/>
  <c r="O29" i="6"/>
  <c r="G29" i="6"/>
  <c r="O27" i="6"/>
  <c r="G27" i="6"/>
  <c r="O26" i="6"/>
  <c r="G26" i="6"/>
  <c r="O25" i="6"/>
  <c r="G25" i="6"/>
  <c r="W11" i="6"/>
  <c r="O11" i="6"/>
  <c r="G11" i="6"/>
  <c r="W9" i="6"/>
  <c r="O9" i="6"/>
  <c r="G9" i="6"/>
  <c r="W8" i="6"/>
  <c r="O8" i="6"/>
  <c r="G8" i="6"/>
  <c r="W7" i="6"/>
  <c r="O7" i="6"/>
  <c r="G7" i="6"/>
  <c r="O24" i="5"/>
  <c r="G24" i="5"/>
  <c r="O23" i="5"/>
  <c r="G23" i="5"/>
  <c r="O22" i="5"/>
  <c r="G22" i="5"/>
  <c r="O8" i="5"/>
  <c r="O7" i="5"/>
  <c r="G8" i="5"/>
  <c r="G7" i="5"/>
  <c r="O6" i="5"/>
  <c r="G6" i="5"/>
  <c r="W42" i="4"/>
  <c r="O42" i="4"/>
  <c r="G42" i="4"/>
  <c r="W40" i="4"/>
  <c r="O40" i="4"/>
  <c r="G40" i="4"/>
  <c r="G41" i="4" s="1"/>
  <c r="W39" i="4"/>
  <c r="O39" i="4"/>
  <c r="G39" i="4"/>
  <c r="W38" i="4"/>
  <c r="O38" i="4"/>
  <c r="G38" i="4"/>
  <c r="W24" i="4"/>
  <c r="O24" i="4"/>
  <c r="G24" i="4"/>
  <c r="W22" i="4"/>
  <c r="W23" i="4" s="1"/>
  <c r="O22" i="4"/>
  <c r="O23" i="4" s="1"/>
  <c r="G22" i="4"/>
  <c r="W21" i="4"/>
  <c r="O21" i="4"/>
  <c r="G21" i="4"/>
  <c r="W20" i="4"/>
  <c r="O20" i="4"/>
  <c r="G20" i="4"/>
  <c r="W9" i="4"/>
  <c r="O9" i="4"/>
  <c r="G9" i="4"/>
  <c r="W7" i="4"/>
  <c r="O7" i="4"/>
  <c r="G7" i="4"/>
  <c r="W6" i="4"/>
  <c r="O6" i="4"/>
  <c r="G6" i="4"/>
  <c r="W5" i="4"/>
  <c r="O5" i="4"/>
  <c r="G5" i="4"/>
  <c r="W25" i="3"/>
  <c r="O25" i="3"/>
  <c r="G25" i="3"/>
  <c r="W23" i="3"/>
  <c r="O23" i="3"/>
  <c r="G23" i="3"/>
  <c r="W22" i="3"/>
  <c r="O22" i="3"/>
  <c r="G22" i="3"/>
  <c r="W21" i="3"/>
  <c r="O21" i="3"/>
  <c r="G21" i="3"/>
  <c r="W9" i="3"/>
  <c r="O9" i="3"/>
  <c r="G9" i="3"/>
  <c r="W7" i="3"/>
  <c r="O7" i="3"/>
  <c r="G7" i="3"/>
  <c r="G8" i="3" s="1"/>
  <c r="W6" i="3"/>
  <c r="O6" i="3"/>
  <c r="G6" i="3"/>
  <c r="W5" i="3"/>
  <c r="O5" i="3"/>
  <c r="G5" i="3"/>
  <c r="G106" i="1"/>
  <c r="G91" i="1"/>
  <c r="G73" i="1"/>
  <c r="G50" i="1"/>
  <c r="G35" i="1"/>
  <c r="G22" i="1"/>
  <c r="G9" i="1"/>
  <c r="W106" i="1"/>
  <c r="W91" i="1"/>
  <c r="W73" i="1"/>
  <c r="W50" i="1"/>
  <c r="W35" i="1"/>
  <c r="W22" i="1"/>
  <c r="X9" i="1"/>
  <c r="O106" i="1"/>
  <c r="O91" i="1"/>
  <c r="O73" i="1"/>
  <c r="O50" i="1"/>
  <c r="O35" i="1"/>
  <c r="O22" i="1"/>
  <c r="O9" i="1"/>
  <c r="G69" i="1"/>
  <c r="O69" i="1"/>
  <c r="W69" i="1"/>
  <c r="G70" i="1"/>
  <c r="O70" i="1"/>
  <c r="W70" i="1"/>
  <c r="G31" i="1"/>
  <c r="F6" i="2" s="1"/>
  <c r="O31" i="1"/>
  <c r="H6" i="2" s="1"/>
  <c r="W31" i="1"/>
  <c r="G32" i="1"/>
  <c r="O32" i="1"/>
  <c r="W32" i="1"/>
  <c r="G33" i="1"/>
  <c r="G34" i="1" s="1"/>
  <c r="O33" i="1"/>
  <c r="W33" i="1"/>
  <c r="W104" i="1"/>
  <c r="O104" i="1"/>
  <c r="G104" i="1"/>
  <c r="W103" i="1"/>
  <c r="O103" i="1"/>
  <c r="G103" i="1"/>
  <c r="W102" i="1"/>
  <c r="O102" i="1"/>
  <c r="G102" i="1"/>
  <c r="W89" i="1"/>
  <c r="O89" i="1"/>
  <c r="G89" i="1"/>
  <c r="W88" i="1"/>
  <c r="O88" i="1"/>
  <c r="G88" i="1"/>
  <c r="W87" i="1"/>
  <c r="O87" i="1"/>
  <c r="G87" i="1"/>
  <c r="W71" i="1"/>
  <c r="O71" i="1"/>
  <c r="G71" i="1"/>
  <c r="W48" i="1"/>
  <c r="O48" i="1"/>
  <c r="O49" i="1" s="1"/>
  <c r="G48" i="1"/>
  <c r="G49" i="1" s="1"/>
  <c r="W47" i="1"/>
  <c r="O47" i="1"/>
  <c r="G47" i="1"/>
  <c r="W46" i="1"/>
  <c r="O46" i="1"/>
  <c r="G46" i="1"/>
  <c r="W20" i="1"/>
  <c r="W19" i="1"/>
  <c r="W18" i="1"/>
  <c r="X7" i="1"/>
  <c r="X8" i="1" s="1"/>
  <c r="X6" i="1"/>
  <c r="X5" i="1"/>
  <c r="O20" i="1"/>
  <c r="G20" i="1"/>
  <c r="O19" i="1"/>
  <c r="G19" i="1"/>
  <c r="O18" i="1"/>
  <c r="H5" i="2" s="1"/>
  <c r="G18" i="1"/>
  <c r="F5" i="2" s="1"/>
  <c r="O7" i="1"/>
  <c r="G7" i="1"/>
  <c r="O6" i="1"/>
  <c r="G6" i="1"/>
  <c r="O5" i="1"/>
  <c r="H4" i="2" s="1"/>
  <c r="G5" i="1"/>
  <c r="F4" i="2" s="1"/>
  <c r="G51" i="15" l="1"/>
  <c r="O51" i="15"/>
  <c r="O62" i="14"/>
  <c r="G62" i="14"/>
  <c r="O38" i="15"/>
  <c r="G38" i="15"/>
  <c r="O25" i="15"/>
  <c r="G25" i="15"/>
  <c r="O10" i="15"/>
  <c r="G10" i="15"/>
  <c r="O49" i="14"/>
  <c r="G49" i="14"/>
  <c r="O37" i="14"/>
  <c r="G37" i="14"/>
  <c r="O24" i="14"/>
  <c r="G24" i="14"/>
  <c r="O10" i="14"/>
  <c r="G10" i="14"/>
  <c r="O53" i="13"/>
  <c r="G53" i="13"/>
  <c r="G39" i="13"/>
  <c r="O39" i="13"/>
  <c r="G24" i="13"/>
  <c r="O24" i="13"/>
  <c r="O10" i="13"/>
  <c r="G10" i="13"/>
  <c r="O25" i="11"/>
  <c r="G25" i="11"/>
  <c r="O11" i="11"/>
  <c r="G11" i="11"/>
  <c r="O38" i="10"/>
  <c r="G38" i="10"/>
  <c r="O24" i="10"/>
  <c r="G24" i="10"/>
  <c r="O11" i="10"/>
  <c r="G11" i="10"/>
  <c r="O59" i="6"/>
  <c r="G59" i="6"/>
  <c r="O44" i="6"/>
  <c r="G44" i="6"/>
  <c r="O28" i="6"/>
  <c r="G28" i="6"/>
  <c r="O10" i="6"/>
  <c r="W10" i="6"/>
  <c r="G10" i="6"/>
  <c r="O41" i="4"/>
  <c r="W41" i="4"/>
  <c r="G23" i="4"/>
  <c r="W8" i="4"/>
  <c r="O8" i="4"/>
  <c r="G8" i="4"/>
  <c r="G24" i="3"/>
  <c r="W24" i="3"/>
  <c r="O24" i="3"/>
  <c r="W8" i="3"/>
  <c r="O8" i="3"/>
  <c r="W49" i="1"/>
  <c r="O34" i="1"/>
  <c r="O90" i="1"/>
  <c r="W34" i="1"/>
  <c r="O72" i="1"/>
  <c r="W105" i="1"/>
  <c r="O105" i="1"/>
  <c r="G105" i="1"/>
  <c r="W90" i="1"/>
  <c r="G90" i="1"/>
  <c r="W72" i="1"/>
  <c r="G72" i="1"/>
  <c r="I6" i="2"/>
  <c r="G6" i="2"/>
  <c r="W21" i="1"/>
  <c r="G21" i="1"/>
  <c r="G5" i="2" s="1"/>
  <c r="O21" i="1"/>
  <c r="I5" i="2" s="1"/>
  <c r="O8" i="1"/>
  <c r="I4" i="2" s="1"/>
  <c r="G8" i="1"/>
  <c r="G4" i="2" s="1"/>
</calcChain>
</file>

<file path=xl/sharedStrings.xml><?xml version="1.0" encoding="utf-8"?>
<sst xmlns="http://schemas.openxmlformats.org/spreadsheetml/2006/main" count="2579" uniqueCount="167">
  <si>
    <t>20260819-E01 – Irradiance Grid (W/m²)</t>
  </si>
  <si>
    <t>Position</t>
  </si>
  <si>
    <t>Left</t>
  </si>
  <si>
    <t>Centre</t>
  </si>
  <si>
    <t>Right</t>
  </si>
  <si>
    <t>Metric</t>
  </si>
  <si>
    <t>Top</t>
  </si>
  <si>
    <t>Average</t>
  </si>
  <si>
    <t>Middle</t>
  </si>
  <si>
    <t>Minimum</t>
  </si>
  <si>
    <t>Bottom</t>
  </si>
  <si>
    <t>Maximum</t>
  </si>
  <si>
    <t>Range</t>
  </si>
  <si>
    <t>ENVIRONMENTAL &amp; TEST CONDITIONS:</t>
  </si>
  <si>
    <t>Lamp Distance (cm):</t>
  </si>
  <si>
    <t>90 cm</t>
  </si>
  <si>
    <t>Fan Condition:</t>
  </si>
  <si>
    <t>OFF</t>
  </si>
  <si>
    <t>Window Condition:</t>
  </si>
  <si>
    <t>Test Purpose / Notes:</t>
  </si>
  <si>
    <t>20260819-E02 – Temperature Grid (°C)</t>
  </si>
  <si>
    <t>20260819-E02 – Irradiance Grid (W/m²)</t>
  </si>
  <si>
    <t>60 cm</t>
  </si>
  <si>
    <t>20260819-E03 – Temperature Grid (°C)</t>
  </si>
  <si>
    <t>20260819-E03 – Irradiance Grid (W/m²)</t>
  </si>
  <si>
    <t>ON (High Speed - 3)</t>
  </si>
  <si>
    <t>MASTER EXPERIMENTAL LOG &amp; MEASURED DATA (FOR CLSHADE / MATLAB IMPORT)</t>
  </si>
  <si>
    <t>Run ID</t>
  </si>
  <si>
    <t>Date</t>
  </si>
  <si>
    <t>Lamp Distance (cm)</t>
  </si>
  <si>
    <t>Fan Speed</t>
  </si>
  <si>
    <t>Window Status</t>
  </si>
  <si>
    <t>Avg Temp (°C)</t>
  </si>
  <si>
    <t>Temp Range (°C)</t>
  </si>
  <si>
    <t>Avg Irradiance (W/m²)</t>
  </si>
  <si>
    <t>Irradiance Range (W/m²)</t>
  </si>
  <si>
    <t>I-V Sweep File Ref</t>
  </si>
  <si>
    <t>Notes / Target Parameter</t>
  </si>
  <si>
    <t>20260819-E01</t>
  </si>
  <si>
    <t>2026-08-19</t>
  </si>
  <si>
    <t>Closed</t>
  </si>
  <si>
    <t>IV_sweep_E01.csv</t>
  </si>
  <si>
    <t>Rsh extraction focus</t>
  </si>
  <si>
    <t>20260819-E02</t>
  </si>
  <si>
    <t>Low</t>
  </si>
  <si>
    <t>IV_sweep_E02.csv</t>
  </si>
  <si>
    <t>Thermal drift monitoring</t>
  </si>
  <si>
    <t>20260819-E03</t>
  </si>
  <si>
    <t>High</t>
  </si>
  <si>
    <t>IV_sweep_E03.csv</t>
  </si>
  <si>
    <t>Iph &amp; Rs isolation at 25°C</t>
  </si>
  <si>
    <t>PV LAB EXPERIMENTAL DATA ENTRY TEMPLATE (DDM PARAMETER EXTRACTION)Day3-21August 2026</t>
  </si>
  <si>
    <t>on</t>
  </si>
  <si>
    <t>Closed / unShielded</t>
  </si>
  <si>
    <t xml:space="preserve">low irradiance constant temperature(AIM g=400, T= 25 ) </t>
  </si>
  <si>
    <t>20260819-E01 – Temperature Grid After sweep (°C)</t>
  </si>
  <si>
    <t xml:space="preserve">ON </t>
  </si>
  <si>
    <t>20260819-E02 – Temperature Grid After(°C)</t>
  </si>
  <si>
    <t>20260819-E01 – Temperaturw Grid (°C)</t>
  </si>
  <si>
    <t>80 cm</t>
  </si>
  <si>
    <t xml:space="preserve">constant temperature </t>
  </si>
  <si>
    <t>constant irradiance</t>
  </si>
  <si>
    <t>constant temperature</t>
  </si>
  <si>
    <t>constant temperautre</t>
  </si>
  <si>
    <t>57 cm</t>
  </si>
  <si>
    <t>75 cm</t>
  </si>
  <si>
    <t>Uniform(%)</t>
  </si>
  <si>
    <t>Std</t>
  </si>
  <si>
    <t>excellent ST &lt; 1.5 , acceptable 1.5&lt;ST&lt;3, poor ST&gt;3</t>
  </si>
  <si>
    <t xml:space="preserve">Basic uniformity &lt;10 </t>
  </si>
  <si>
    <t>PV LAB EXPERIMENTAL DATA ENTRY TEMPLATE (DDM PARAMETER EXTRACTION)Day4-24August 2026</t>
  </si>
  <si>
    <t>At STC condtions (1000 W/m² at 25°C )</t>
  </si>
  <si>
    <t>31..3</t>
  </si>
  <si>
    <t>At low irradiance</t>
  </si>
  <si>
    <t>constant temperature varying irradance(lowest irradiance)</t>
  </si>
  <si>
    <t>constant temperature varying irradance(mid irradiance)</t>
  </si>
  <si>
    <t>constant temperature varying irradance(highest irradiance)</t>
  </si>
  <si>
    <t>90 cm, voltage bulbs at 150V</t>
  </si>
  <si>
    <t>90 cm voltage bulbs at 200V</t>
  </si>
  <si>
    <t>90 cm voltage bulbs at 250V</t>
  </si>
  <si>
    <t xml:space="preserve">90 cm voltage at 200V </t>
  </si>
  <si>
    <t>constant irradiance varying temperature</t>
  </si>
  <si>
    <t xml:space="preserve">Outside 15:45 </t>
  </si>
  <si>
    <t>Outside 16:00</t>
  </si>
  <si>
    <t>PV LAB EXPERIMENTAL DATA ENTRY TEMPLATE (DDM PARAMETER EXTRACTION)---2 September 2026</t>
  </si>
  <si>
    <t>PV LAB EXPERIMENTAL DATA ENTRY TEMPLATE (DDM PARAMETER EXTRACTION)---7 September 2026</t>
  </si>
  <si>
    <t xml:space="preserve">Outside </t>
  </si>
  <si>
    <t xml:space="preserve">current </t>
  </si>
  <si>
    <t>voltage</t>
  </si>
  <si>
    <t xml:space="preserve">Outside  with parial shading </t>
  </si>
  <si>
    <t>PV LAB EXPERIMENTAL DATA ENTRY TEMPLATE (DDM PARAMETER EXTRACTION)--- 01 September 2026</t>
  </si>
  <si>
    <t xml:space="preserve">Inside </t>
  </si>
  <si>
    <t xml:space="preserve">constant irradiance, varying temperature </t>
  </si>
  <si>
    <t xml:space="preserve">On </t>
  </si>
  <si>
    <t>C=0.4170</t>
  </si>
  <si>
    <t>off</t>
  </si>
  <si>
    <t xml:space="preserve">CONSTANT irradiance  VARYING temperature </t>
  </si>
  <si>
    <t xml:space="preserve">Inside  variac voltage is 150V </t>
  </si>
  <si>
    <t>Inside variac voltage = 150 V</t>
  </si>
  <si>
    <t>Inside varic voltage = 150V</t>
  </si>
  <si>
    <t>409..4</t>
  </si>
  <si>
    <t xml:space="preserve">IV CURVES ACROSS DIFFERENT IRRADIANCE AND TEMPERATURE RANGES THAT WILL BE USED TO VALIDATE THE SDM </t>
  </si>
  <si>
    <r>
      <t>I</t>
    </r>
    <r>
      <rPr>
        <b/>
        <i/>
        <sz val="20"/>
        <color theme="1"/>
        <rFont val="Calibri (Body)"/>
      </rPr>
      <t xml:space="preserve">V CURVES ACROSS DIFFERENT IRRADIANCE AND TEMPERATURE RANGES THAT WILL BE USED TO VALIDATE THE SDM </t>
    </r>
  </si>
  <si>
    <t xml:space="preserve">Validation data- </t>
  </si>
  <si>
    <t xml:space="preserve">Off, distance is 90 cm </t>
  </si>
  <si>
    <t xml:space="preserve">Inside  variac voltage is 180V </t>
  </si>
  <si>
    <t xml:space="preserve">off, distance is 90cm </t>
  </si>
  <si>
    <t xml:space="preserve">Inside  variac voltage is 200V </t>
  </si>
  <si>
    <t xml:space="preserve">Inside  variac voltage is 220V </t>
  </si>
  <si>
    <t>Validation data-constant irradiance varying temperature</t>
  </si>
  <si>
    <t xml:space="preserve">ON, distance is 90 cm </t>
  </si>
  <si>
    <t xml:space="preserve">On, distance is 90 cm </t>
  </si>
  <si>
    <t>Validation data-constant temperature varying irradiance</t>
  </si>
  <si>
    <t xml:space="preserve">Validation data-constant temperature  varying irradiance </t>
  </si>
  <si>
    <r>
      <rPr>
        <b/>
        <sz val="18"/>
        <color theme="1"/>
        <rFont val="Calibri (Body)"/>
      </rPr>
      <t>ENV FOR PARTIAL SHADING CONDITIONS</t>
    </r>
    <r>
      <rPr>
        <sz val="11"/>
        <color theme="1"/>
        <rFont val="Calibri"/>
        <family val="2"/>
        <scheme val="minor"/>
      </rPr>
      <t xml:space="preserve"> </t>
    </r>
  </si>
  <si>
    <t xml:space="preserve">Partial shading cell:Column 1 Row 1 </t>
  </si>
  <si>
    <t xml:space="preserve">Partial shading cell:Column 1 Row 11 </t>
  </si>
  <si>
    <t xml:space="preserve">Partial shading cell:Column 3 Row 1 </t>
  </si>
  <si>
    <t xml:space="preserve">Partial shading cell:Column 3 Row 11 </t>
  </si>
  <si>
    <t xml:space="preserve">Partial shading cell:Column 2 Row 6 (middle of the PV panel ) </t>
  </si>
  <si>
    <t xml:space="preserve">Off, distance is 60 cm </t>
  </si>
  <si>
    <t xml:space="preserve">TEMP OF THE COVERED CELL = 45.7 </t>
  </si>
  <si>
    <t xml:space="preserve"> </t>
  </si>
  <si>
    <t xml:space="preserve">temp of covered cell = 38.5 </t>
  </si>
  <si>
    <t xml:space="preserve">temp of the covered cell = </t>
  </si>
  <si>
    <t>BASELINE IV/PV CURVE AT THESE CONDITIONS</t>
  </si>
  <si>
    <t xml:space="preserve">The process is taking the env then covering the cell and immediatetly doing a voltage sweep </t>
  </si>
  <si>
    <t xml:space="preserve">Baseline </t>
  </si>
  <si>
    <t xml:space="preserve">BASELINE </t>
  </si>
  <si>
    <t xml:space="preserve">Purpose: Is to see if you get multiple peaks when you have mass partial shading </t>
  </si>
  <si>
    <t>Cover col 3 row (1-5)</t>
  </si>
  <si>
    <t>after 5 min the temp of the covered area was = 40</t>
  </si>
  <si>
    <t>Cover col 2 row (1-5)</t>
  </si>
  <si>
    <t>Cover col 1row 1-5</t>
  </si>
  <si>
    <t xml:space="preserve">col 3 row 1 </t>
  </si>
  <si>
    <t xml:space="preserve">PURPOSE: RE-TESTING THE PARTIAL SHADING FROM 28 SEP  </t>
  </si>
  <si>
    <r>
      <rPr>
        <b/>
        <sz val="18"/>
        <color theme="1"/>
        <rFont val="Calibri (Body)"/>
      </rPr>
      <t>ENV FOR PARTIAL SHADING CONDITIONS</t>
    </r>
    <r>
      <rPr>
        <sz val="11"/>
        <color theme="1"/>
        <rFont val="Calibri"/>
        <family val="2"/>
        <scheme val="minor"/>
      </rPr>
      <t xml:space="preserve"> - repeat because some data was missing </t>
    </r>
  </si>
  <si>
    <t>col3 row 1-5</t>
  </si>
  <si>
    <t xml:space="preserve">col3 row 11 moving cloud </t>
  </si>
  <si>
    <t>baseline</t>
  </si>
  <si>
    <t xml:space="preserve">Investigating bypass diode and serverity of the shading </t>
  </si>
  <si>
    <t xml:space="preserve">Repeating 100 % shading of cells across two sbustrings </t>
  </si>
  <si>
    <t xml:space="preserve">col3 row 1 </t>
  </si>
  <si>
    <t xml:space="preserve">col 3 row 11 </t>
  </si>
  <si>
    <t xml:space="preserve">col 3 row 5 </t>
  </si>
  <si>
    <t xml:space="preserve">col2 row 1 </t>
  </si>
  <si>
    <t>col 3 row2,10</t>
  </si>
  <si>
    <t xml:space="preserve">col 3 row 2,col 2 row 1  </t>
  </si>
  <si>
    <t xml:space="preserve">start substring 1 </t>
  </si>
  <si>
    <t xml:space="preserve">start substring 2 </t>
  </si>
  <si>
    <t xml:space="preserve">col 1 </t>
  </si>
  <si>
    <t xml:space="preserve">These are the environmental conditions of PANEL SUNLIGHT </t>
  </si>
  <si>
    <t xml:space="preserve">The purpose of changing panels is to check if under partial shading, the results are expected </t>
  </si>
  <si>
    <t xml:space="preserve">Off </t>
  </si>
  <si>
    <t xml:space="preserve">Inside, variac voltage is 220V </t>
  </si>
  <si>
    <t xml:space="preserve">distance is 60cm </t>
  </si>
  <si>
    <t xml:space="preserve">outside </t>
  </si>
  <si>
    <t xml:space="preserve">inside variac 220V </t>
  </si>
  <si>
    <t xml:space="preserve">off </t>
  </si>
  <si>
    <t xml:space="preserve">unshielded </t>
  </si>
  <si>
    <t xml:space="preserve">IV CURVES PARTIAL SHADING WITH PAPER 50% </t>
  </si>
  <si>
    <t xml:space="preserve">IV CURVES PARTIAL SHADING WITH PAPER 100% AND 75% </t>
  </si>
  <si>
    <t>BASELINE- 14H16</t>
  </si>
  <si>
    <t xml:space="preserve">IV CURVES PARTIAL SHADING WITH CARBOARD 50% </t>
  </si>
  <si>
    <t>c=0.4170</t>
  </si>
  <si>
    <t>20260918-E02 – Temperature Grid (°C)</t>
  </si>
  <si>
    <t>20260918-E02 – Irradiance Grid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</si>
</sst>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0"/>
      <color theme="1"/>
      <name val="Calibri (Body)"/>
    </font>
    <font>
      <b/>
      <sz val="20"/>
      <color theme="1"/>
      <name val="Calibri (Body)"/>
    </font>
    <font>
      <b/>
      <sz val="18"/>
      <color theme="1"/>
      <name val="Calibri (Body)"/>
    </font>
    <font>
      <b/>
      <sz val="16"/>
      <name val="Calibri"/>
      <family val="2"/>
    </font>
    <font>
      <b/>
      <sz val="16"/>
      <color theme="1"/>
      <name val="Calibri (Body)"/>
    </font>
    <font>
      <b/>
      <sz val="14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8A"/>
        <bgColor rgb="FF2B548A"/>
      </patternFill>
    </fill>
    <fill>
      <patternFill patternType="solid">
        <fgColor rgb="FFFFF9E6"/>
        <bgColor rgb="FFFFF9E6"/>
      </patternFill>
    </fill>
    <fill>
      <patternFill patternType="solid">
        <fgColor rgb="FFF0F4F8"/>
        <bgColor rgb="FFF0F4F8"/>
      </patternFill>
    </fill>
  </fills>
  <borders count="12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1B365D"/>
      </bottom>
      <diagonal/>
    </border>
    <border>
      <left style="thin">
        <color rgb="FF1B365D"/>
      </left>
      <right/>
      <top/>
      <bottom/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1B365D"/>
      </left>
      <right/>
      <top style="thin">
        <color rgb="FF1B365D"/>
      </top>
      <bottom style="thin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4" fontId="6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right" vertical="center"/>
    </xf>
    <xf numFmtId="164" fontId="9" fillId="0" borderId="9" xfId="0" applyNumberFormat="1" applyFont="1" applyBorder="1" applyAlignment="1">
      <alignment horizontal="right" vertical="center"/>
    </xf>
    <xf numFmtId="0" fontId="8" fillId="0" borderId="0" xfId="0" applyFont="1"/>
    <xf numFmtId="0" fontId="10" fillId="0" borderId="0" xfId="0" applyFont="1"/>
    <xf numFmtId="164" fontId="6" fillId="0" borderId="0" xfId="0" applyNumberFormat="1" applyFont="1"/>
    <xf numFmtId="0" fontId="8" fillId="0" borderId="0" xfId="0" applyFont="1" applyAlignment="1">
      <alignment horizontal="left" vertical="center"/>
    </xf>
    <xf numFmtId="20" fontId="0" fillId="0" borderId="0" xfId="0" applyNumberFormat="1"/>
    <xf numFmtId="0" fontId="11" fillId="0" borderId="0" xfId="0" applyFont="1"/>
    <xf numFmtId="0" fontId="13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20" fontId="6" fillId="0" borderId="0" xfId="0" applyNumberFormat="1" applyFont="1"/>
    <xf numFmtId="0" fontId="17" fillId="0" borderId="0" xfId="0" applyFont="1"/>
    <xf numFmtId="0" fontId="4" fillId="4" borderId="2" xfId="0" applyFont="1" applyFill="1" applyBorder="1" applyAlignment="1">
      <alignment horizontal="left" vertical="center"/>
    </xf>
    <xf numFmtId="0" fontId="0" fillId="0" borderId="2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topLeftCell="B14" workbookViewId="0">
      <selection activeCell="C110" sqref="C110:G110"/>
    </sheetView>
  </sheetViews>
  <sheetFormatPr baseColWidth="10" defaultColWidth="8.83203125" defaultRowHeight="15" x14ac:dyDescent="0.2"/>
  <cols>
    <col min="1" max="1" width="12" customWidth="1"/>
    <col min="2" max="4" width="10" customWidth="1"/>
    <col min="5" max="5" width="4" customWidth="1"/>
    <col min="6" max="7" width="12" customWidth="1"/>
    <col min="8" max="8" width="4" customWidth="1"/>
    <col min="9" max="9" width="12" customWidth="1"/>
    <col min="10" max="12" width="10" customWidth="1"/>
    <col min="13" max="13" width="4" customWidth="1"/>
    <col min="14" max="15" width="12" customWidth="1"/>
  </cols>
  <sheetData>
    <row r="1" spans="1:24" ht="21" x14ac:dyDescent="0.2">
      <c r="A1" s="39" t="s">
        <v>51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t="s">
        <v>68</v>
      </c>
    </row>
    <row r="2" spans="1:24" x14ac:dyDescent="0.2">
      <c r="N2" t="s">
        <v>69</v>
      </c>
    </row>
    <row r="3" spans="1:24" x14ac:dyDescent="0.2">
      <c r="A3" s="36" t="s">
        <v>58</v>
      </c>
      <c r="B3" s="37"/>
      <c r="C3" s="37"/>
      <c r="D3" s="37"/>
      <c r="I3" s="36" t="s">
        <v>0</v>
      </c>
      <c r="J3" s="37"/>
      <c r="K3" s="37"/>
      <c r="L3" s="37"/>
      <c r="R3" s="36" t="s">
        <v>55</v>
      </c>
      <c r="S3" s="37"/>
      <c r="T3" s="37"/>
      <c r="U3" s="37"/>
    </row>
    <row r="4" spans="1:24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  <c r="R4" s="1" t="s">
        <v>1</v>
      </c>
      <c r="S4" s="1" t="s">
        <v>2</v>
      </c>
      <c r="T4" s="1" t="s">
        <v>3</v>
      </c>
      <c r="U4" s="1" t="s">
        <v>4</v>
      </c>
      <c r="W4" s="38" t="s">
        <v>5</v>
      </c>
      <c r="X4" s="37"/>
    </row>
    <row r="5" spans="1:24" x14ac:dyDescent="0.2">
      <c r="A5" s="2" t="s">
        <v>6</v>
      </c>
      <c r="B5" s="3">
        <v>29.6</v>
      </c>
      <c r="C5" s="3">
        <v>30.4</v>
      </c>
      <c r="D5" s="3">
        <v>30.5</v>
      </c>
      <c r="F5" s="2" t="s">
        <v>7</v>
      </c>
      <c r="G5" s="4">
        <f>AVERAGE(B5:D7)</f>
        <v>31.888888888888889</v>
      </c>
      <c r="I5" s="2" t="s">
        <v>6</v>
      </c>
      <c r="J5" s="3">
        <v>362</v>
      </c>
      <c r="K5" s="3">
        <v>383</v>
      </c>
      <c r="L5" s="3">
        <v>345</v>
      </c>
      <c r="N5" s="2" t="s">
        <v>7</v>
      </c>
      <c r="O5" s="4">
        <f>AVERAGE(J5:L7)</f>
        <v>384.22222222222223</v>
      </c>
      <c r="R5" s="2" t="s">
        <v>6</v>
      </c>
      <c r="S5" s="3">
        <v>33.700000000000003</v>
      </c>
      <c r="T5" s="3">
        <v>33.299999999999997</v>
      </c>
      <c r="U5" s="3">
        <v>33</v>
      </c>
      <c r="W5" s="2" t="s">
        <v>7</v>
      </c>
      <c r="X5" s="4">
        <f>AVERAGE(S5:U7)</f>
        <v>34.655555555555551</v>
      </c>
    </row>
    <row r="6" spans="1:24" x14ac:dyDescent="0.2">
      <c r="A6" s="2" t="s">
        <v>8</v>
      </c>
      <c r="B6" s="3">
        <v>31.4</v>
      </c>
      <c r="C6" s="3">
        <v>32.200000000000003</v>
      </c>
      <c r="D6" s="3">
        <v>32.1</v>
      </c>
      <c r="F6" s="2" t="s">
        <v>9</v>
      </c>
      <c r="G6" s="4">
        <f>MIN(B5:D7)</f>
        <v>29.6</v>
      </c>
      <c r="I6" s="2" t="s">
        <v>8</v>
      </c>
      <c r="J6" s="3">
        <v>420</v>
      </c>
      <c r="K6" s="3">
        <v>427</v>
      </c>
      <c r="L6" s="3">
        <v>396</v>
      </c>
      <c r="N6" s="2" t="s">
        <v>9</v>
      </c>
      <c r="O6" s="4">
        <f>MIN(J5:L7)</f>
        <v>345</v>
      </c>
      <c r="R6" s="2" t="s">
        <v>8</v>
      </c>
      <c r="S6" s="3">
        <v>34</v>
      </c>
      <c r="T6" s="3">
        <v>33.700000000000003</v>
      </c>
      <c r="U6" s="3">
        <v>34.4</v>
      </c>
      <c r="W6" s="2" t="s">
        <v>9</v>
      </c>
      <c r="X6" s="4">
        <f>MIN(S5:U7)</f>
        <v>33</v>
      </c>
    </row>
    <row r="7" spans="1:24" x14ac:dyDescent="0.2">
      <c r="A7" s="2" t="s">
        <v>10</v>
      </c>
      <c r="B7" s="3">
        <v>33.4</v>
      </c>
      <c r="C7" s="3">
        <v>34.4</v>
      </c>
      <c r="D7" s="3">
        <v>33</v>
      </c>
      <c r="F7" s="2" t="s">
        <v>11</v>
      </c>
      <c r="G7" s="4">
        <f>MAX(B5:D7)</f>
        <v>34.4</v>
      </c>
      <c r="I7" s="2" t="s">
        <v>10</v>
      </c>
      <c r="J7" s="3">
        <v>377</v>
      </c>
      <c r="K7" s="3">
        <v>391</v>
      </c>
      <c r="L7" s="3">
        <v>357</v>
      </c>
      <c r="N7" s="2" t="s">
        <v>11</v>
      </c>
      <c r="O7" s="4">
        <f>MAX(J5:L7)</f>
        <v>427</v>
      </c>
      <c r="R7" s="2" t="s">
        <v>10</v>
      </c>
      <c r="S7" s="3">
        <v>36.4</v>
      </c>
      <c r="T7" s="3">
        <v>36.700000000000003</v>
      </c>
      <c r="U7" s="3">
        <v>36.700000000000003</v>
      </c>
      <c r="W7" s="2" t="s">
        <v>11</v>
      </c>
      <c r="X7" s="4">
        <f>MAX(S5:U7)</f>
        <v>36.700000000000003</v>
      </c>
    </row>
    <row r="8" spans="1:24" x14ac:dyDescent="0.2">
      <c r="F8" s="2" t="s">
        <v>12</v>
      </c>
      <c r="G8" s="4">
        <f>G7-G6</f>
        <v>4.7999999999999972</v>
      </c>
      <c r="N8" s="2" t="s">
        <v>12</v>
      </c>
      <c r="O8" s="4">
        <f>O7-O6</f>
        <v>82</v>
      </c>
      <c r="W8" s="2" t="s">
        <v>12</v>
      </c>
      <c r="X8" s="4">
        <f>X7-X6</f>
        <v>3.7000000000000028</v>
      </c>
    </row>
    <row r="9" spans="1:24" x14ac:dyDescent="0.2">
      <c r="A9" s="5" t="s">
        <v>13</v>
      </c>
      <c r="F9" s="12" t="s">
        <v>67</v>
      </c>
      <c r="G9" s="13">
        <f>_xlfn.STDEV.S(B5:D7)</f>
        <v>1.5648038570731828</v>
      </c>
      <c r="N9" s="12" t="s">
        <v>66</v>
      </c>
      <c r="O9" s="13">
        <f>((MAX(J5:L7)-MIN(J5:L7))/(MAX(J5:L7)+MIN(J5:L7)))*100</f>
        <v>10.621761658031089</v>
      </c>
      <c r="W9" s="12" t="s">
        <v>67</v>
      </c>
      <c r="X9" s="13">
        <f>_xlfn.STDEV.S(S5:U7)</f>
        <v>1.5125401739384576</v>
      </c>
    </row>
    <row r="10" spans="1:24" x14ac:dyDescent="0.2">
      <c r="A10" s="6" t="s">
        <v>14</v>
      </c>
      <c r="C10" s="34" t="s">
        <v>15</v>
      </c>
      <c r="D10" s="35"/>
      <c r="E10" s="35"/>
      <c r="F10" s="35"/>
      <c r="G10" s="35"/>
    </row>
    <row r="11" spans="1:24" x14ac:dyDescent="0.2">
      <c r="A11" s="6" t="s">
        <v>16</v>
      </c>
      <c r="C11" s="34" t="s">
        <v>52</v>
      </c>
      <c r="D11" s="35"/>
      <c r="E11" s="35"/>
      <c r="F11" s="35"/>
      <c r="G11" s="35"/>
    </row>
    <row r="12" spans="1:24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24" x14ac:dyDescent="0.2">
      <c r="A13" s="6" t="s">
        <v>19</v>
      </c>
      <c r="C13" s="34" t="s">
        <v>54</v>
      </c>
      <c r="D13" s="35"/>
      <c r="E13" s="35"/>
      <c r="F13" s="35"/>
      <c r="G13" s="35"/>
    </row>
    <row r="14" spans="1:24" ht="17" customHeight="1" x14ac:dyDescent="0.2"/>
    <row r="16" spans="1:24" x14ac:dyDescent="0.2">
      <c r="A16" s="36" t="s">
        <v>20</v>
      </c>
      <c r="B16" s="37"/>
      <c r="C16" s="37"/>
      <c r="D16" s="37"/>
      <c r="I16" s="36" t="s">
        <v>21</v>
      </c>
      <c r="J16" s="37"/>
      <c r="K16" s="37"/>
      <c r="L16" s="37"/>
      <c r="Q16" s="36" t="s">
        <v>57</v>
      </c>
      <c r="R16" s="37"/>
      <c r="S16" s="37"/>
      <c r="T16" s="37"/>
    </row>
    <row r="17" spans="1:23" x14ac:dyDescent="0.2">
      <c r="A17" s="1" t="s">
        <v>1</v>
      </c>
      <c r="B17" s="1" t="s">
        <v>2</v>
      </c>
      <c r="C17" s="1" t="s">
        <v>3</v>
      </c>
      <c r="D17" s="1" t="s">
        <v>4</v>
      </c>
      <c r="F17" s="38" t="s">
        <v>5</v>
      </c>
      <c r="G17" s="37"/>
      <c r="I17" s="1" t="s">
        <v>1</v>
      </c>
      <c r="J17" s="1" t="s">
        <v>2</v>
      </c>
      <c r="K17" s="1" t="s">
        <v>3</v>
      </c>
      <c r="L17" s="1" t="s">
        <v>4</v>
      </c>
      <c r="N17" s="38" t="s">
        <v>5</v>
      </c>
      <c r="O17" s="37"/>
      <c r="Q17" s="1" t="s">
        <v>1</v>
      </c>
      <c r="R17" s="1" t="s">
        <v>2</v>
      </c>
      <c r="S17" s="1" t="s">
        <v>3</v>
      </c>
      <c r="T17" s="1" t="s">
        <v>4</v>
      </c>
      <c r="V17" s="38" t="s">
        <v>5</v>
      </c>
      <c r="W17" s="37"/>
    </row>
    <row r="18" spans="1:23" x14ac:dyDescent="0.2">
      <c r="A18" s="2" t="s">
        <v>6</v>
      </c>
      <c r="B18" s="3">
        <v>31.3</v>
      </c>
      <c r="C18" s="3">
        <v>31.3</v>
      </c>
      <c r="D18" s="3">
        <v>31.9</v>
      </c>
      <c r="F18" s="2" t="s">
        <v>7</v>
      </c>
      <c r="G18" s="4">
        <f>AVERAGE(B18:D20)</f>
        <v>33.87777777777778</v>
      </c>
      <c r="I18" s="2" t="s">
        <v>6</v>
      </c>
      <c r="J18" s="3">
        <v>374</v>
      </c>
      <c r="K18" s="3">
        <v>393</v>
      </c>
      <c r="L18" s="3">
        <v>355</v>
      </c>
      <c r="N18" s="2" t="s">
        <v>7</v>
      </c>
      <c r="O18" s="4">
        <f>AVERAGE(J18:L20)</f>
        <v>392.11111111111109</v>
      </c>
      <c r="Q18" s="2" t="s">
        <v>6</v>
      </c>
      <c r="R18" s="3">
        <v>35.299999999999997</v>
      </c>
      <c r="S18" s="3">
        <v>35.200000000000003</v>
      </c>
      <c r="T18" s="3">
        <v>34.799999999999997</v>
      </c>
      <c r="V18" s="2" t="s">
        <v>7</v>
      </c>
      <c r="W18" s="4">
        <f>AVERAGE(R18:T20)</f>
        <v>36.74444444444444</v>
      </c>
    </row>
    <row r="19" spans="1:23" x14ac:dyDescent="0.2">
      <c r="A19" s="2" t="s">
        <v>8</v>
      </c>
      <c r="B19" s="3">
        <v>33.4</v>
      </c>
      <c r="C19" s="3">
        <v>35.4</v>
      </c>
      <c r="D19" s="3">
        <v>33.9</v>
      </c>
      <c r="F19" s="2" t="s">
        <v>9</v>
      </c>
      <c r="G19" s="4">
        <f>MIN(B18:D20)</f>
        <v>31.3</v>
      </c>
      <c r="I19" s="2" t="s">
        <v>8</v>
      </c>
      <c r="J19" s="3">
        <v>416</v>
      </c>
      <c r="K19" s="3">
        <v>445</v>
      </c>
      <c r="L19" s="3">
        <v>396</v>
      </c>
      <c r="N19" s="2" t="s">
        <v>9</v>
      </c>
      <c r="O19" s="4">
        <f>MIN(J18:L20)</f>
        <v>355</v>
      </c>
      <c r="Q19" s="2" t="s">
        <v>8</v>
      </c>
      <c r="R19" s="3">
        <v>35.9</v>
      </c>
      <c r="S19" s="3">
        <v>37.200000000000003</v>
      </c>
      <c r="T19" s="3">
        <v>36.200000000000003</v>
      </c>
      <c r="V19" s="2" t="s">
        <v>9</v>
      </c>
      <c r="W19" s="4">
        <f>MIN(R18:T20)</f>
        <v>34.799999999999997</v>
      </c>
    </row>
    <row r="20" spans="1:23" x14ac:dyDescent="0.2">
      <c r="A20" s="2" t="s">
        <v>10</v>
      </c>
      <c r="B20" s="3">
        <v>35.6</v>
      </c>
      <c r="C20" s="3">
        <v>36.6</v>
      </c>
      <c r="D20" s="3">
        <v>35.5</v>
      </c>
      <c r="F20" s="2" t="s">
        <v>11</v>
      </c>
      <c r="G20" s="4">
        <f>MAX(B18:D20)</f>
        <v>36.6</v>
      </c>
      <c r="I20" s="2" t="s">
        <v>10</v>
      </c>
      <c r="J20" s="3">
        <v>378</v>
      </c>
      <c r="K20" s="3">
        <v>402</v>
      </c>
      <c r="L20" s="3">
        <v>370</v>
      </c>
      <c r="N20" s="2" t="s">
        <v>11</v>
      </c>
      <c r="O20" s="4">
        <f>MAX(J18:L20)</f>
        <v>445</v>
      </c>
      <c r="Q20" s="2" t="s">
        <v>10</v>
      </c>
      <c r="R20" s="3">
        <v>38.1</v>
      </c>
      <c r="S20" s="3">
        <v>39.5</v>
      </c>
      <c r="T20" s="3">
        <v>38.5</v>
      </c>
      <c r="V20" s="2" t="s">
        <v>11</v>
      </c>
      <c r="W20" s="4">
        <f>MAX(R18:T20)</f>
        <v>39.5</v>
      </c>
    </row>
    <row r="21" spans="1:23" x14ac:dyDescent="0.2">
      <c r="F21" s="2" t="s">
        <v>12</v>
      </c>
      <c r="G21" s="4">
        <f>G20-G19</f>
        <v>5.3000000000000007</v>
      </c>
      <c r="N21" s="2" t="s">
        <v>12</v>
      </c>
      <c r="O21" s="4">
        <f>O20-O19</f>
        <v>90</v>
      </c>
      <c r="V21" s="2" t="s">
        <v>12</v>
      </c>
      <c r="W21" s="4">
        <f>W20-W19</f>
        <v>4.7000000000000028</v>
      </c>
    </row>
    <row r="22" spans="1:23" x14ac:dyDescent="0.2">
      <c r="A22" s="5" t="s">
        <v>13</v>
      </c>
      <c r="F22" s="12" t="s">
        <v>67</v>
      </c>
      <c r="G22" s="13">
        <f>_xlfn.STDEV.S(B18:D20)</f>
        <v>2.0234733614368254</v>
      </c>
      <c r="N22" s="12" t="s">
        <v>66</v>
      </c>
      <c r="O22" s="13">
        <f>((MAX(J18:L20)-MIN(J18:L20))/(MAX(J18:L20)+MIN(J18:L20)))*100</f>
        <v>11.25</v>
      </c>
      <c r="V22" s="12" t="s">
        <v>67</v>
      </c>
      <c r="W22" s="13">
        <f>_xlfn.STDEV.S(R18:T20)</f>
        <v>1.6576422345541815</v>
      </c>
    </row>
    <row r="23" spans="1:23" x14ac:dyDescent="0.2">
      <c r="A23" s="6" t="s">
        <v>14</v>
      </c>
      <c r="C23" s="34" t="s">
        <v>15</v>
      </c>
      <c r="D23" s="35"/>
      <c r="E23" s="35"/>
      <c r="F23" s="35"/>
      <c r="G23" s="35"/>
    </row>
    <row r="24" spans="1:23" x14ac:dyDescent="0.2">
      <c r="A24" s="6" t="s">
        <v>16</v>
      </c>
      <c r="C24" s="34" t="s">
        <v>56</v>
      </c>
      <c r="D24" s="35"/>
      <c r="E24" s="35"/>
      <c r="F24" s="35"/>
      <c r="G24" s="35"/>
    </row>
    <row r="25" spans="1:23" x14ac:dyDescent="0.2">
      <c r="A25" s="6" t="s">
        <v>18</v>
      </c>
      <c r="C25" s="34" t="s">
        <v>53</v>
      </c>
      <c r="D25" s="35"/>
      <c r="E25" s="35"/>
      <c r="F25" s="35"/>
      <c r="G25" s="35"/>
    </row>
    <row r="26" spans="1:23" x14ac:dyDescent="0.2">
      <c r="A26" s="6" t="s">
        <v>19</v>
      </c>
      <c r="C26" s="34" t="s">
        <v>62</v>
      </c>
      <c r="D26" s="35"/>
      <c r="E26" s="35"/>
      <c r="F26" s="35"/>
      <c r="G26" s="35"/>
    </row>
    <row r="29" spans="1:23" x14ac:dyDescent="0.2">
      <c r="A29" s="36" t="s">
        <v>23</v>
      </c>
      <c r="B29" s="37"/>
      <c r="C29" s="37"/>
      <c r="D29" s="37"/>
      <c r="I29" s="36" t="s">
        <v>24</v>
      </c>
      <c r="J29" s="37"/>
      <c r="K29" s="37"/>
      <c r="L29" s="37"/>
      <c r="Q29" s="36" t="s">
        <v>57</v>
      </c>
      <c r="R29" s="37"/>
      <c r="S29" s="37"/>
      <c r="T29" s="37"/>
    </row>
    <row r="30" spans="1:23" x14ac:dyDescent="0.2">
      <c r="A30" s="1" t="s">
        <v>1</v>
      </c>
      <c r="B30" s="1" t="s">
        <v>2</v>
      </c>
      <c r="C30" s="1" t="s">
        <v>3</v>
      </c>
      <c r="D30" s="1" t="s">
        <v>4</v>
      </c>
      <c r="F30" s="38" t="s">
        <v>5</v>
      </c>
      <c r="G30" s="37"/>
      <c r="I30" s="1" t="s">
        <v>1</v>
      </c>
      <c r="J30" s="1" t="s">
        <v>2</v>
      </c>
      <c r="K30" s="1" t="s">
        <v>3</v>
      </c>
      <c r="L30" s="1" t="s">
        <v>4</v>
      </c>
      <c r="N30" s="38" t="s">
        <v>5</v>
      </c>
      <c r="O30" s="37"/>
      <c r="Q30" s="1" t="s">
        <v>1</v>
      </c>
      <c r="R30" s="1" t="s">
        <v>2</v>
      </c>
      <c r="S30" s="1" t="s">
        <v>3</v>
      </c>
      <c r="T30" s="1" t="s">
        <v>4</v>
      </c>
      <c r="V30" s="38" t="s">
        <v>5</v>
      </c>
      <c r="W30" s="37"/>
    </row>
    <row r="31" spans="1:23" x14ac:dyDescent="0.2">
      <c r="A31" s="2" t="s">
        <v>6</v>
      </c>
      <c r="B31" s="3">
        <v>28.1</v>
      </c>
      <c r="C31" s="3">
        <v>28.6</v>
      </c>
      <c r="D31" s="3">
        <v>28.5</v>
      </c>
      <c r="F31" s="2" t="s">
        <v>7</v>
      </c>
      <c r="G31" s="4">
        <f>AVERAGE(B31:D33)</f>
        <v>30.888888888888889</v>
      </c>
      <c r="I31" s="2" t="s">
        <v>6</v>
      </c>
      <c r="J31" s="3">
        <v>824</v>
      </c>
      <c r="K31" s="3">
        <v>910</v>
      </c>
      <c r="L31" s="3">
        <v>821</v>
      </c>
      <c r="N31" s="2" t="s">
        <v>7</v>
      </c>
      <c r="O31" s="4">
        <f>AVERAGE(J31:L33)</f>
        <v>861.88888888888891</v>
      </c>
      <c r="Q31" s="2" t="s">
        <v>6</v>
      </c>
      <c r="R31" s="3">
        <v>36.6</v>
      </c>
      <c r="S31" s="3">
        <v>36.299999999999997</v>
      </c>
      <c r="T31" s="3">
        <v>36</v>
      </c>
      <c r="V31" s="2" t="s">
        <v>7</v>
      </c>
      <c r="W31" s="4">
        <f>AVERAGE(R31:T33)</f>
        <v>38</v>
      </c>
    </row>
    <row r="32" spans="1:23" x14ac:dyDescent="0.2">
      <c r="A32" s="2" t="s">
        <v>8</v>
      </c>
      <c r="B32" s="3">
        <v>30.5</v>
      </c>
      <c r="C32" s="3">
        <v>31.4</v>
      </c>
      <c r="D32" s="3">
        <v>31</v>
      </c>
      <c r="F32" s="2" t="s">
        <v>9</v>
      </c>
      <c r="G32" s="4">
        <f>MIN(B31:D33)</f>
        <v>28.1</v>
      </c>
      <c r="I32" s="2" t="s">
        <v>8</v>
      </c>
      <c r="J32" s="3">
        <v>870</v>
      </c>
      <c r="K32" s="3">
        <v>990</v>
      </c>
      <c r="L32" s="3">
        <v>823</v>
      </c>
      <c r="N32" s="2" t="s">
        <v>9</v>
      </c>
      <c r="O32" s="4">
        <f>MIN(J31:L33)</f>
        <v>821</v>
      </c>
      <c r="Q32" s="2" t="s">
        <v>8</v>
      </c>
      <c r="R32" s="3">
        <v>38.299999999999997</v>
      </c>
      <c r="S32" s="3">
        <v>38.4</v>
      </c>
      <c r="T32" s="3">
        <v>37.5</v>
      </c>
      <c r="V32" s="2" t="s">
        <v>9</v>
      </c>
      <c r="W32" s="4">
        <f>MIN(R31:T33)</f>
        <v>36</v>
      </c>
    </row>
    <row r="33" spans="1:23" x14ac:dyDescent="0.2">
      <c r="A33" s="2" t="s">
        <v>10</v>
      </c>
      <c r="B33" s="3">
        <v>33.200000000000003</v>
      </c>
      <c r="C33" s="3">
        <v>33.5</v>
      </c>
      <c r="D33" s="3">
        <v>33.200000000000003</v>
      </c>
      <c r="F33" s="2" t="s">
        <v>11</v>
      </c>
      <c r="G33" s="4">
        <f>MAX(B31:D33)</f>
        <v>33.5</v>
      </c>
      <c r="I33" s="2" t="s">
        <v>10</v>
      </c>
      <c r="J33" s="3">
        <v>822</v>
      </c>
      <c r="K33" s="3">
        <v>822</v>
      </c>
      <c r="L33" s="3">
        <v>875</v>
      </c>
      <c r="N33" s="2" t="s">
        <v>11</v>
      </c>
      <c r="O33" s="4">
        <f>MAX(J31:L33)</f>
        <v>990</v>
      </c>
      <c r="Q33" s="2" t="s">
        <v>10</v>
      </c>
      <c r="R33" s="3">
        <v>39.700000000000003</v>
      </c>
      <c r="S33" s="3">
        <v>41.2</v>
      </c>
      <c r="T33" s="3"/>
      <c r="V33" s="2" t="s">
        <v>11</v>
      </c>
      <c r="W33" s="4">
        <f>MAX(R31:T33)</f>
        <v>41.2</v>
      </c>
    </row>
    <row r="34" spans="1:23" x14ac:dyDescent="0.2">
      <c r="F34" s="2" t="s">
        <v>12</v>
      </c>
      <c r="G34" s="4">
        <f>G33-G32</f>
        <v>5.3999999999999986</v>
      </c>
      <c r="N34" s="2" t="s">
        <v>12</v>
      </c>
      <c r="O34" s="4">
        <f>O33-O32</f>
        <v>169</v>
      </c>
      <c r="V34" s="2" t="s">
        <v>12</v>
      </c>
      <c r="W34" s="4">
        <f>W33-W32</f>
        <v>5.2000000000000028</v>
      </c>
    </row>
    <row r="35" spans="1:23" x14ac:dyDescent="0.2">
      <c r="A35" s="5" t="s">
        <v>13</v>
      </c>
      <c r="F35" s="12" t="s">
        <v>67</v>
      </c>
      <c r="G35" s="13">
        <f>_xlfn.STDEV.S(B31:D33)</f>
        <v>2.14035303422382</v>
      </c>
      <c r="N35" s="12" t="s">
        <v>66</v>
      </c>
      <c r="O35" s="13">
        <f>((MAX(J31:L33)-MIN(J31:L33))/(MAX(J31:L33)+MIN(J31:L33)))*100</f>
        <v>9.3318608503589182</v>
      </c>
      <c r="V35" s="12" t="s">
        <v>67</v>
      </c>
      <c r="W35" s="13">
        <f>_xlfn.STDEV.S(R31:T33)</f>
        <v>1.7920459177790551</v>
      </c>
    </row>
    <row r="36" spans="1:23" x14ac:dyDescent="0.2">
      <c r="A36" s="6" t="s">
        <v>14</v>
      </c>
      <c r="C36" s="34" t="s">
        <v>64</v>
      </c>
      <c r="D36" s="35"/>
      <c r="E36" s="35"/>
      <c r="F36" s="35"/>
      <c r="G36" s="35"/>
    </row>
    <row r="37" spans="1:23" x14ac:dyDescent="0.2">
      <c r="A37" s="6" t="s">
        <v>16</v>
      </c>
      <c r="C37" s="34" t="s">
        <v>25</v>
      </c>
      <c r="D37" s="35"/>
      <c r="E37" s="35"/>
      <c r="F37" s="35"/>
      <c r="G37" s="35"/>
    </row>
    <row r="38" spans="1:23" x14ac:dyDescent="0.2">
      <c r="A38" s="6" t="s">
        <v>18</v>
      </c>
      <c r="C38" s="34" t="s">
        <v>53</v>
      </c>
      <c r="D38" s="35"/>
      <c r="E38" s="35"/>
      <c r="F38" s="35"/>
      <c r="G38" s="35"/>
    </row>
    <row r="39" spans="1:23" x14ac:dyDescent="0.2">
      <c r="A39" s="6" t="s">
        <v>19</v>
      </c>
      <c r="C39" s="34" t="s">
        <v>60</v>
      </c>
      <c r="D39" s="35"/>
      <c r="E39" s="35"/>
      <c r="F39" s="35"/>
      <c r="G39" s="35"/>
    </row>
    <row r="44" spans="1:23" x14ac:dyDescent="0.2">
      <c r="A44" s="36" t="s">
        <v>23</v>
      </c>
      <c r="B44" s="37"/>
      <c r="C44" s="37"/>
      <c r="D44" s="37"/>
      <c r="I44" s="36" t="s">
        <v>24</v>
      </c>
      <c r="J44" s="37"/>
      <c r="K44" s="37"/>
      <c r="L44" s="37"/>
      <c r="Q44" s="36" t="s">
        <v>57</v>
      </c>
      <c r="R44" s="37"/>
      <c r="S44" s="37"/>
      <c r="T44" s="37"/>
    </row>
    <row r="45" spans="1:23" x14ac:dyDescent="0.2">
      <c r="A45" s="1" t="s">
        <v>1</v>
      </c>
      <c r="B45" s="1" t="s">
        <v>2</v>
      </c>
      <c r="C45" s="1" t="s">
        <v>3</v>
      </c>
      <c r="D45" s="1" t="s">
        <v>4</v>
      </c>
      <c r="F45" s="38" t="s">
        <v>5</v>
      </c>
      <c r="G45" s="37"/>
      <c r="I45" s="1" t="s">
        <v>1</v>
      </c>
      <c r="J45" s="1" t="s">
        <v>2</v>
      </c>
      <c r="K45" s="1" t="s">
        <v>3</v>
      </c>
      <c r="L45" s="1" t="s">
        <v>4</v>
      </c>
      <c r="N45" s="38" t="s">
        <v>5</v>
      </c>
      <c r="O45" s="37"/>
      <c r="Q45" s="1" t="s">
        <v>1</v>
      </c>
      <c r="R45" s="1" t="s">
        <v>2</v>
      </c>
      <c r="S45" s="1" t="s">
        <v>3</v>
      </c>
      <c r="T45" s="1" t="s">
        <v>4</v>
      </c>
      <c r="V45" s="38" t="s">
        <v>5</v>
      </c>
      <c r="W45" s="37"/>
    </row>
    <row r="46" spans="1:23" x14ac:dyDescent="0.2">
      <c r="A46" s="2" t="s">
        <v>6</v>
      </c>
      <c r="B46" s="3">
        <v>31.5</v>
      </c>
      <c r="C46" s="3">
        <v>32.200000000000003</v>
      </c>
      <c r="D46" s="3">
        <v>32</v>
      </c>
      <c r="F46" s="2" t="s">
        <v>7</v>
      </c>
      <c r="G46" s="4">
        <f>AVERAGE(B46:D48)</f>
        <v>35.077777777777776</v>
      </c>
      <c r="I46" s="2" t="s">
        <v>6</v>
      </c>
      <c r="J46" s="3">
        <v>520</v>
      </c>
      <c r="K46" s="3">
        <v>550</v>
      </c>
      <c r="L46" s="3">
        <v>510</v>
      </c>
      <c r="N46" s="2" t="s">
        <v>7</v>
      </c>
      <c r="O46" s="4">
        <f>AVERAGE(J46:L48)</f>
        <v>573.88888888888891</v>
      </c>
      <c r="Q46" s="2" t="s">
        <v>6</v>
      </c>
      <c r="R46" s="3">
        <v>35.299999999999997</v>
      </c>
      <c r="S46" s="3">
        <v>35.200000000000003</v>
      </c>
      <c r="T46" s="3">
        <v>34.799999999999997</v>
      </c>
      <c r="V46" s="2" t="s">
        <v>7</v>
      </c>
      <c r="W46" s="4">
        <f>AVERAGE(R46:T48)</f>
        <v>36.74444444444444</v>
      </c>
    </row>
    <row r="47" spans="1:23" x14ac:dyDescent="0.2">
      <c r="A47" s="2" t="s">
        <v>8</v>
      </c>
      <c r="B47" s="3">
        <v>36.799999999999997</v>
      </c>
      <c r="C47" s="3">
        <v>36.700000000000003</v>
      </c>
      <c r="D47" s="3">
        <v>35.4</v>
      </c>
      <c r="F47" s="2" t="s">
        <v>9</v>
      </c>
      <c r="G47" s="4">
        <f>MIN(B46:D48)</f>
        <v>31.5</v>
      </c>
      <c r="I47" s="2" t="s">
        <v>8</v>
      </c>
      <c r="J47" s="3">
        <v>610</v>
      </c>
      <c r="K47" s="3">
        <v>640</v>
      </c>
      <c r="L47" s="3">
        <v>590</v>
      </c>
      <c r="N47" s="2" t="s">
        <v>9</v>
      </c>
      <c r="O47" s="4">
        <f>MIN(J46:L48)</f>
        <v>510</v>
      </c>
      <c r="Q47" s="2" t="s">
        <v>8</v>
      </c>
      <c r="R47" s="3">
        <v>35.9</v>
      </c>
      <c r="S47" s="3">
        <v>37.200000000000003</v>
      </c>
      <c r="T47" s="3">
        <v>36.200000000000003</v>
      </c>
      <c r="V47" s="2" t="s">
        <v>9</v>
      </c>
      <c r="W47" s="4">
        <f>MIN(R46:T48)</f>
        <v>34.799999999999997</v>
      </c>
    </row>
    <row r="48" spans="1:23" x14ac:dyDescent="0.2">
      <c r="A48" s="2" t="s">
        <v>10</v>
      </c>
      <c r="B48" s="3">
        <v>35.1</v>
      </c>
      <c r="C48" s="3">
        <v>37.799999999999997</v>
      </c>
      <c r="D48" s="3">
        <v>38.200000000000003</v>
      </c>
      <c r="F48" s="2" t="s">
        <v>11</v>
      </c>
      <c r="G48" s="4">
        <f>MAX(B46:D48)</f>
        <v>38.200000000000003</v>
      </c>
      <c r="I48" s="2" t="s">
        <v>10</v>
      </c>
      <c r="J48" s="3">
        <v>580</v>
      </c>
      <c r="K48" s="3">
        <v>605</v>
      </c>
      <c r="L48" s="3">
        <v>560</v>
      </c>
      <c r="N48" s="2" t="s">
        <v>11</v>
      </c>
      <c r="O48" s="4">
        <f>MAX(J46:L48)</f>
        <v>640</v>
      </c>
      <c r="Q48" s="2" t="s">
        <v>10</v>
      </c>
      <c r="R48" s="3">
        <v>38.1</v>
      </c>
      <c r="S48" s="3">
        <v>39.5</v>
      </c>
      <c r="T48" s="3">
        <v>38.5</v>
      </c>
      <c r="V48" s="2" t="s">
        <v>11</v>
      </c>
      <c r="W48" s="4">
        <f>MAX(R46:T48)</f>
        <v>39.5</v>
      </c>
    </row>
    <row r="49" spans="1:23" x14ac:dyDescent="0.2">
      <c r="F49" s="2" t="s">
        <v>12</v>
      </c>
      <c r="G49" s="4">
        <f>G48-G47</f>
        <v>6.7000000000000028</v>
      </c>
      <c r="N49" s="2" t="s">
        <v>12</v>
      </c>
      <c r="O49" s="4">
        <f>O48-O47</f>
        <v>130</v>
      </c>
      <c r="V49" s="2" t="s">
        <v>12</v>
      </c>
      <c r="W49" s="4">
        <f>W48-W47</f>
        <v>4.7000000000000028</v>
      </c>
    </row>
    <row r="50" spans="1:23" x14ac:dyDescent="0.2">
      <c r="A50" s="5" t="s">
        <v>13</v>
      </c>
      <c r="F50" s="12" t="s">
        <v>67</v>
      </c>
      <c r="G50" s="13">
        <f>_xlfn.STDEV.S(B46:D48)</f>
        <v>2.5839784140825253</v>
      </c>
      <c r="N50" s="12" t="s">
        <v>66</v>
      </c>
      <c r="O50" s="13">
        <f>((MAX(J46:L48)-MIN(J46:L48))/(MAX(J46:L48)+MIN(J46:L48)))*100</f>
        <v>11.304347826086957</v>
      </c>
      <c r="V50" s="12" t="s">
        <v>67</v>
      </c>
      <c r="W50" s="13">
        <f>_xlfn.STDEV.S(R46:T48)</f>
        <v>1.6576422345541815</v>
      </c>
    </row>
    <row r="51" spans="1:23" x14ac:dyDescent="0.2">
      <c r="A51" s="6" t="s">
        <v>14</v>
      </c>
      <c r="C51" s="34" t="s">
        <v>65</v>
      </c>
      <c r="D51" s="35"/>
      <c r="E51" s="35"/>
      <c r="F51" s="35"/>
      <c r="G51" s="35"/>
    </row>
    <row r="52" spans="1:23" x14ac:dyDescent="0.2">
      <c r="A52" s="6" t="s">
        <v>16</v>
      </c>
      <c r="C52" s="34" t="s">
        <v>25</v>
      </c>
      <c r="D52" s="35"/>
      <c r="E52" s="35"/>
      <c r="F52" s="35"/>
      <c r="G52" s="35"/>
    </row>
    <row r="53" spans="1:23" x14ac:dyDescent="0.2">
      <c r="A53" s="6" t="s">
        <v>18</v>
      </c>
      <c r="C53" s="34" t="s">
        <v>53</v>
      </c>
      <c r="D53" s="35"/>
      <c r="E53" s="35"/>
      <c r="F53" s="35"/>
      <c r="G53" s="35"/>
    </row>
    <row r="54" spans="1:23" x14ac:dyDescent="0.2">
      <c r="A54" s="6" t="s">
        <v>19</v>
      </c>
      <c r="C54" s="34" t="s">
        <v>63</v>
      </c>
      <c r="D54" s="35"/>
      <c r="E54" s="35"/>
      <c r="F54" s="35"/>
      <c r="G54" s="35"/>
    </row>
    <row r="67" spans="1:23" x14ac:dyDescent="0.2">
      <c r="A67" s="40" t="s">
        <v>23</v>
      </c>
      <c r="B67" s="40"/>
      <c r="C67" s="40"/>
      <c r="D67" s="40"/>
      <c r="I67" s="40" t="s">
        <v>24</v>
      </c>
      <c r="J67" s="40"/>
      <c r="K67" s="40"/>
      <c r="L67" s="40"/>
      <c r="Q67" s="40" t="s">
        <v>57</v>
      </c>
      <c r="R67" s="40"/>
      <c r="S67" s="40"/>
      <c r="T67" s="40"/>
    </row>
    <row r="68" spans="1:23" x14ac:dyDescent="0.2">
      <c r="A68" s="1" t="s">
        <v>1</v>
      </c>
      <c r="B68" s="1" t="s">
        <v>2</v>
      </c>
      <c r="C68" s="1" t="s">
        <v>3</v>
      </c>
      <c r="D68" s="1" t="s">
        <v>4</v>
      </c>
      <c r="F68" s="41" t="s">
        <v>5</v>
      </c>
      <c r="G68" s="42"/>
      <c r="I68" s="1" t="s">
        <v>1</v>
      </c>
      <c r="J68" s="1" t="s">
        <v>2</v>
      </c>
      <c r="K68" s="1" t="s">
        <v>3</v>
      </c>
      <c r="L68" s="1" t="s">
        <v>4</v>
      </c>
      <c r="N68" s="41" t="s">
        <v>5</v>
      </c>
      <c r="O68" s="42"/>
      <c r="Q68" s="1" t="s">
        <v>1</v>
      </c>
      <c r="R68" s="1" t="s">
        <v>2</v>
      </c>
      <c r="S68" s="1" t="s">
        <v>3</v>
      </c>
      <c r="T68" s="1" t="s">
        <v>4</v>
      </c>
      <c r="V68" s="41" t="s">
        <v>5</v>
      </c>
      <c r="W68" s="42"/>
    </row>
    <row r="69" spans="1:23" x14ac:dyDescent="0.2">
      <c r="A69" s="2" t="s">
        <v>6</v>
      </c>
      <c r="B69" s="3">
        <v>32</v>
      </c>
      <c r="C69" s="3">
        <v>28.9</v>
      </c>
      <c r="D69" s="3">
        <v>28.8</v>
      </c>
      <c r="F69" s="2" t="s">
        <v>7</v>
      </c>
      <c r="G69" s="4">
        <f>AVERAGE(B69:D71)</f>
        <v>31.344444444444449</v>
      </c>
      <c r="I69" s="2" t="s">
        <v>6</v>
      </c>
      <c r="J69" s="3">
        <v>211</v>
      </c>
      <c r="K69" s="3">
        <v>235</v>
      </c>
      <c r="L69" s="3">
        <v>214</v>
      </c>
      <c r="N69" s="2" t="s">
        <v>7</v>
      </c>
      <c r="O69" s="4">
        <f>AVERAGE(J69:L71)</f>
        <v>230.33333333333334</v>
      </c>
      <c r="Q69" s="2" t="s">
        <v>6</v>
      </c>
      <c r="R69" s="3">
        <v>32.6</v>
      </c>
      <c r="S69" s="3">
        <v>30</v>
      </c>
      <c r="T69" s="3">
        <v>29.7</v>
      </c>
      <c r="V69" s="2" t="s">
        <v>7</v>
      </c>
      <c r="W69" s="4">
        <f>AVERAGE(R69:T71)</f>
        <v>31.911111111111115</v>
      </c>
    </row>
    <row r="70" spans="1:23" x14ac:dyDescent="0.2">
      <c r="A70" s="2" t="s">
        <v>8</v>
      </c>
      <c r="B70" s="3">
        <v>30.5</v>
      </c>
      <c r="C70" s="3">
        <v>30.8</v>
      </c>
      <c r="D70" s="3">
        <v>30.5</v>
      </c>
      <c r="F70" s="2" t="s">
        <v>9</v>
      </c>
      <c r="G70" s="4">
        <f>MIN(B69:D71)</f>
        <v>28.8</v>
      </c>
      <c r="I70" s="2" t="s">
        <v>8</v>
      </c>
      <c r="J70" s="3">
        <v>240</v>
      </c>
      <c r="K70" s="3">
        <v>255</v>
      </c>
      <c r="L70" s="3">
        <v>240</v>
      </c>
      <c r="N70" s="2" t="s">
        <v>9</v>
      </c>
      <c r="O70" s="4">
        <f>MIN(J69:L71)</f>
        <v>211</v>
      </c>
      <c r="Q70" s="2" t="s">
        <v>8</v>
      </c>
      <c r="R70" s="3">
        <v>30.8</v>
      </c>
      <c r="S70" s="3">
        <v>32.200000000000003</v>
      </c>
      <c r="T70" s="3">
        <v>31</v>
      </c>
      <c r="V70" s="2" t="s">
        <v>9</v>
      </c>
      <c r="W70" s="4">
        <f>MIN(R69:T71)</f>
        <v>29.7</v>
      </c>
    </row>
    <row r="71" spans="1:23" x14ac:dyDescent="0.2">
      <c r="A71" s="2" t="s">
        <v>10</v>
      </c>
      <c r="B71" s="3">
        <v>33.1</v>
      </c>
      <c r="C71" s="3">
        <v>34</v>
      </c>
      <c r="D71" s="3">
        <v>33.5</v>
      </c>
      <c r="F71" s="2" t="s">
        <v>11</v>
      </c>
      <c r="G71" s="4">
        <f>MAX(B69:D71)</f>
        <v>34</v>
      </c>
      <c r="I71" s="2" t="s">
        <v>10</v>
      </c>
      <c r="J71" s="3">
        <v>228</v>
      </c>
      <c r="K71" s="3">
        <v>235</v>
      </c>
      <c r="L71" s="3">
        <v>215</v>
      </c>
      <c r="N71" s="2" t="s">
        <v>11</v>
      </c>
      <c r="O71" s="4">
        <f>MAX(J69:L71)</f>
        <v>255</v>
      </c>
      <c r="Q71" s="2" t="s">
        <v>10</v>
      </c>
      <c r="R71" s="3">
        <v>33.4</v>
      </c>
      <c r="S71" s="3">
        <v>34</v>
      </c>
      <c r="T71" s="3">
        <v>33.5</v>
      </c>
      <c r="V71" s="2" t="s">
        <v>11</v>
      </c>
      <c r="W71" s="4">
        <f>MAX(R69:T71)</f>
        <v>34</v>
      </c>
    </row>
    <row r="72" spans="1:23" x14ac:dyDescent="0.2">
      <c r="F72" s="2" t="s">
        <v>12</v>
      </c>
      <c r="G72" s="4">
        <f>G71-G70</f>
        <v>5.1999999999999993</v>
      </c>
      <c r="N72" s="2" t="s">
        <v>12</v>
      </c>
      <c r="O72" s="4">
        <f>O71-O70</f>
        <v>44</v>
      </c>
      <c r="V72" s="2" t="s">
        <v>12</v>
      </c>
      <c r="W72" s="4">
        <f>W71-W70</f>
        <v>4.3000000000000007</v>
      </c>
    </row>
    <row r="73" spans="1:23" x14ac:dyDescent="0.2">
      <c r="A73" s="5" t="s">
        <v>13</v>
      </c>
      <c r="F73" s="12" t="s">
        <v>67</v>
      </c>
      <c r="G73" s="13">
        <f>_xlfn.STDEV.S(B69:D71)</f>
        <v>1.9164492630324912</v>
      </c>
      <c r="N73" s="12" t="s">
        <v>66</v>
      </c>
      <c r="O73" s="13">
        <f>((MAX(J69:L71)-MIN(J69:L71))/(MAX(J69:L71)+MIN(J69:L71)))*100</f>
        <v>9.4420600858369106</v>
      </c>
      <c r="V73" s="12" t="s">
        <v>67</v>
      </c>
      <c r="W73" s="13">
        <f>_xlfn.STDEV.S(R69:T71)</f>
        <v>1.5917321103474389</v>
      </c>
    </row>
    <row r="74" spans="1:23" x14ac:dyDescent="0.2">
      <c r="A74" s="6" t="s">
        <v>14</v>
      </c>
      <c r="C74" s="34" t="s">
        <v>59</v>
      </c>
      <c r="D74" s="35"/>
      <c r="E74" s="35"/>
      <c r="F74" s="35"/>
      <c r="G74" s="35"/>
    </row>
    <row r="75" spans="1:23" x14ac:dyDescent="0.2">
      <c r="A75" s="6" t="s">
        <v>16</v>
      </c>
      <c r="C75" s="34" t="s">
        <v>25</v>
      </c>
      <c r="D75" s="35"/>
      <c r="E75" s="35"/>
      <c r="F75" s="35"/>
      <c r="G75" s="35"/>
    </row>
    <row r="76" spans="1:23" x14ac:dyDescent="0.2">
      <c r="A76" s="6" t="s">
        <v>18</v>
      </c>
      <c r="C76" s="34" t="s">
        <v>53</v>
      </c>
      <c r="D76" s="35"/>
      <c r="E76" s="35"/>
      <c r="F76" s="35"/>
      <c r="G76" s="35"/>
    </row>
    <row r="77" spans="1:23" x14ac:dyDescent="0.2">
      <c r="A77" s="6" t="s">
        <v>19</v>
      </c>
      <c r="C77" s="34" t="s">
        <v>61</v>
      </c>
      <c r="D77" s="35"/>
      <c r="E77" s="35"/>
      <c r="F77" s="35"/>
      <c r="G77" s="35"/>
    </row>
    <row r="85" spans="1:23" x14ac:dyDescent="0.2">
      <c r="A85" s="36" t="s">
        <v>23</v>
      </c>
      <c r="B85" s="37"/>
      <c r="C85" s="37"/>
      <c r="D85" s="37"/>
      <c r="I85" s="36" t="s">
        <v>24</v>
      </c>
      <c r="J85" s="37"/>
      <c r="K85" s="37"/>
      <c r="L85" s="37"/>
      <c r="Q85" s="36" t="s">
        <v>57</v>
      </c>
      <c r="R85" s="37"/>
      <c r="S85" s="37"/>
      <c r="T85" s="37"/>
    </row>
    <row r="86" spans="1:23" x14ac:dyDescent="0.2">
      <c r="A86" s="1" t="s">
        <v>1</v>
      </c>
      <c r="B86" s="1" t="s">
        <v>2</v>
      </c>
      <c r="C86" s="1" t="s">
        <v>3</v>
      </c>
      <c r="D86" s="1" t="s">
        <v>4</v>
      </c>
      <c r="F86" s="38" t="s">
        <v>5</v>
      </c>
      <c r="G86" s="37"/>
      <c r="I86" s="1" t="s">
        <v>1</v>
      </c>
      <c r="J86" s="1" t="s">
        <v>2</v>
      </c>
      <c r="K86" s="1" t="s">
        <v>3</v>
      </c>
      <c r="L86" s="1" t="s">
        <v>4</v>
      </c>
      <c r="N86" s="38" t="s">
        <v>5</v>
      </c>
      <c r="O86" s="37"/>
      <c r="Q86" s="1" t="s">
        <v>1</v>
      </c>
      <c r="R86" s="1" t="s">
        <v>2</v>
      </c>
      <c r="S86" s="1" t="s">
        <v>3</v>
      </c>
      <c r="T86" s="1" t="s">
        <v>4</v>
      </c>
      <c r="V86" s="38" t="s">
        <v>5</v>
      </c>
      <c r="W86" s="37"/>
    </row>
    <row r="87" spans="1:23" x14ac:dyDescent="0.2">
      <c r="A87" s="2" t="s">
        <v>6</v>
      </c>
      <c r="B87" s="3">
        <v>30.1</v>
      </c>
      <c r="C87" s="3">
        <v>30.2</v>
      </c>
      <c r="D87" s="3">
        <v>29.9</v>
      </c>
      <c r="F87" s="2" t="s">
        <v>7</v>
      </c>
      <c r="G87" s="4">
        <f>AVERAGE(B87:D89)</f>
        <v>31.899999999999995</v>
      </c>
      <c r="I87" s="2" t="s">
        <v>6</v>
      </c>
      <c r="J87" s="3">
        <v>206</v>
      </c>
      <c r="K87" s="3">
        <v>225</v>
      </c>
      <c r="L87" s="3">
        <v>206</v>
      </c>
      <c r="N87" s="2" t="s">
        <v>7</v>
      </c>
      <c r="O87" s="4">
        <f>AVERAGE(J87:L89)</f>
        <v>223.88888888888889</v>
      </c>
      <c r="Q87" s="2" t="s">
        <v>6</v>
      </c>
      <c r="R87" s="3">
        <v>31.3</v>
      </c>
      <c r="S87" s="3">
        <v>30.2</v>
      </c>
      <c r="T87" s="3">
        <v>29.9</v>
      </c>
      <c r="V87" s="2" t="s">
        <v>7</v>
      </c>
      <c r="W87" s="4">
        <f>AVERAGE(R87:T89)</f>
        <v>31.822222222222226</v>
      </c>
    </row>
    <row r="88" spans="1:23" x14ac:dyDescent="0.2">
      <c r="A88" s="2" t="s">
        <v>8</v>
      </c>
      <c r="B88" s="3">
        <v>31.6</v>
      </c>
      <c r="C88" s="3">
        <v>31.1</v>
      </c>
      <c r="D88" s="3">
        <v>32</v>
      </c>
      <c r="F88" s="2" t="s">
        <v>9</v>
      </c>
      <c r="G88" s="4">
        <f>MIN(B87:D89)</f>
        <v>29.9</v>
      </c>
      <c r="I88" s="2" t="s">
        <v>8</v>
      </c>
      <c r="J88" s="3">
        <v>230</v>
      </c>
      <c r="K88" s="3">
        <v>250</v>
      </c>
      <c r="L88" s="3">
        <v>227</v>
      </c>
      <c r="N88" s="2" t="s">
        <v>9</v>
      </c>
      <c r="O88" s="4">
        <f>MIN(J87:L89)</f>
        <v>206</v>
      </c>
      <c r="Q88" s="2" t="s">
        <v>8</v>
      </c>
      <c r="R88" s="3">
        <v>31.1</v>
      </c>
      <c r="S88" s="3">
        <v>30.9</v>
      </c>
      <c r="T88" s="3">
        <v>32.1</v>
      </c>
      <c r="V88" s="2" t="s">
        <v>9</v>
      </c>
      <c r="W88" s="4">
        <f>MIN(R87:T89)</f>
        <v>29.9</v>
      </c>
    </row>
    <row r="89" spans="1:23" x14ac:dyDescent="0.2">
      <c r="A89" s="2" t="s">
        <v>10</v>
      </c>
      <c r="B89" s="3">
        <v>34</v>
      </c>
      <c r="C89" s="3">
        <v>34.4</v>
      </c>
      <c r="D89" s="3">
        <v>33.799999999999997</v>
      </c>
      <c r="F89" s="2" t="s">
        <v>11</v>
      </c>
      <c r="G89" s="4">
        <f>MAX(B87:D89)</f>
        <v>34.4</v>
      </c>
      <c r="I89" s="2" t="s">
        <v>10</v>
      </c>
      <c r="J89" s="3">
        <v>225</v>
      </c>
      <c r="K89" s="3">
        <v>235</v>
      </c>
      <c r="L89" s="3">
        <v>211</v>
      </c>
      <c r="N89" s="2" t="s">
        <v>11</v>
      </c>
      <c r="O89" s="4">
        <f>MAX(J87:L89)</f>
        <v>250</v>
      </c>
      <c r="Q89" s="2" t="s">
        <v>10</v>
      </c>
      <c r="R89" s="3">
        <v>33.5</v>
      </c>
      <c r="S89" s="3">
        <v>33.799999999999997</v>
      </c>
      <c r="T89" s="3">
        <v>33.6</v>
      </c>
      <c r="V89" s="2" t="s">
        <v>11</v>
      </c>
      <c r="W89" s="4">
        <f>MAX(R87:T89)</f>
        <v>33.799999999999997</v>
      </c>
    </row>
    <row r="90" spans="1:23" x14ac:dyDescent="0.2">
      <c r="F90" s="2" t="s">
        <v>12</v>
      </c>
      <c r="G90" s="4">
        <f>G89-G88</f>
        <v>4.5</v>
      </c>
      <c r="N90" s="2" t="s">
        <v>12</v>
      </c>
      <c r="O90" s="4">
        <f>O89-O88</f>
        <v>44</v>
      </c>
      <c r="V90" s="2" t="s">
        <v>12</v>
      </c>
      <c r="W90" s="4">
        <f>W89-W88</f>
        <v>3.8999999999999986</v>
      </c>
    </row>
    <row r="91" spans="1:23" x14ac:dyDescent="0.2">
      <c r="A91" s="5" t="s">
        <v>13</v>
      </c>
      <c r="F91" s="12" t="s">
        <v>67</v>
      </c>
      <c r="G91" s="13">
        <f>_xlfn.STDEV.S(B87:D89)</f>
        <v>1.7727097901235831</v>
      </c>
      <c r="N91" s="12" t="s">
        <v>66</v>
      </c>
      <c r="O91" s="13">
        <f>((MAX(J87:L89)-MIN(J87:L89))/(MAX(J87:L89)+MIN(J87:L89)))*100</f>
        <v>9.6491228070175428</v>
      </c>
      <c r="V91" s="12" t="s">
        <v>67</v>
      </c>
      <c r="W91" s="13">
        <f>_xlfn.STDEV.S(R87:T89)</f>
        <v>1.4973124070962762</v>
      </c>
    </row>
    <row r="92" spans="1:23" x14ac:dyDescent="0.2">
      <c r="A92" s="6" t="s">
        <v>14</v>
      </c>
      <c r="C92" s="34" t="s">
        <v>59</v>
      </c>
      <c r="D92" s="35"/>
      <c r="E92" s="35"/>
      <c r="F92" s="35"/>
      <c r="G92" s="35"/>
    </row>
    <row r="93" spans="1:23" x14ac:dyDescent="0.2">
      <c r="A93" s="6" t="s">
        <v>16</v>
      </c>
      <c r="C93" s="34" t="s">
        <v>25</v>
      </c>
      <c r="D93" s="35"/>
      <c r="E93" s="35"/>
      <c r="F93" s="35"/>
      <c r="G93" s="35"/>
    </row>
    <row r="94" spans="1:23" x14ac:dyDescent="0.2">
      <c r="A94" s="6" t="s">
        <v>18</v>
      </c>
      <c r="C94" s="34" t="s">
        <v>53</v>
      </c>
      <c r="D94" s="35"/>
      <c r="E94" s="35"/>
      <c r="F94" s="35"/>
      <c r="G94" s="35"/>
    </row>
    <row r="95" spans="1:23" x14ac:dyDescent="0.2">
      <c r="A95" s="6" t="s">
        <v>19</v>
      </c>
      <c r="C95" s="34" t="s">
        <v>61</v>
      </c>
      <c r="D95" s="35"/>
      <c r="E95" s="35"/>
      <c r="F95" s="35"/>
      <c r="G95" s="35"/>
    </row>
    <row r="100" spans="1:23" x14ac:dyDescent="0.2">
      <c r="A100" s="36" t="s">
        <v>23</v>
      </c>
      <c r="B100" s="37"/>
      <c r="C100" s="37"/>
      <c r="D100" s="37"/>
      <c r="I100" s="36" t="s">
        <v>24</v>
      </c>
      <c r="J100" s="37"/>
      <c r="K100" s="37"/>
      <c r="L100" s="37"/>
      <c r="Q100" s="36" t="s">
        <v>57</v>
      </c>
      <c r="R100" s="37"/>
      <c r="S100" s="37"/>
      <c r="T100" s="37"/>
    </row>
    <row r="101" spans="1:23" x14ac:dyDescent="0.2">
      <c r="A101" s="1" t="s">
        <v>1</v>
      </c>
      <c r="B101" s="1" t="s">
        <v>2</v>
      </c>
      <c r="C101" s="1" t="s">
        <v>3</v>
      </c>
      <c r="D101" s="1" t="s">
        <v>4</v>
      </c>
      <c r="F101" s="38" t="s">
        <v>5</v>
      </c>
      <c r="G101" s="37"/>
      <c r="I101" s="1" t="s">
        <v>1</v>
      </c>
      <c r="J101" s="1" t="s">
        <v>2</v>
      </c>
      <c r="K101" s="1" t="s">
        <v>3</v>
      </c>
      <c r="L101" s="1" t="s">
        <v>4</v>
      </c>
      <c r="N101" s="38" t="s">
        <v>5</v>
      </c>
      <c r="O101" s="37"/>
      <c r="Q101" s="1" t="s">
        <v>1</v>
      </c>
      <c r="R101" s="1" t="s">
        <v>2</v>
      </c>
      <c r="S101" s="1" t="s">
        <v>3</v>
      </c>
      <c r="T101" s="1" t="s">
        <v>4</v>
      </c>
      <c r="V101" s="38" t="s">
        <v>5</v>
      </c>
      <c r="W101" s="37"/>
    </row>
    <row r="102" spans="1:23" x14ac:dyDescent="0.2">
      <c r="A102" s="2" t="s">
        <v>6</v>
      </c>
      <c r="B102" s="3">
        <v>37.700000000000003</v>
      </c>
      <c r="C102" s="3">
        <v>37</v>
      </c>
      <c r="D102" s="3">
        <v>36</v>
      </c>
      <c r="F102" s="2" t="s">
        <v>7</v>
      </c>
      <c r="G102" s="4">
        <f>AVERAGE(B102:D104)</f>
        <v>38.211111111111116</v>
      </c>
      <c r="I102" s="2" t="s">
        <v>6</v>
      </c>
      <c r="J102" s="3">
        <v>206</v>
      </c>
      <c r="K102" s="3">
        <v>220</v>
      </c>
      <c r="L102" s="3">
        <v>200</v>
      </c>
      <c r="N102" s="2" t="s">
        <v>7</v>
      </c>
      <c r="O102" s="4">
        <f>AVERAGE(J102:L104)</f>
        <v>220.22222222222223</v>
      </c>
      <c r="Q102" s="2" t="s">
        <v>6</v>
      </c>
      <c r="R102" s="3">
        <v>39</v>
      </c>
      <c r="S102" s="3">
        <v>38.6</v>
      </c>
      <c r="T102" s="3">
        <v>36.9</v>
      </c>
      <c r="V102" s="2" t="s">
        <v>7</v>
      </c>
      <c r="W102" s="4">
        <f>AVERAGE(R102:T104)</f>
        <v>39.266666666666673</v>
      </c>
    </row>
    <row r="103" spans="1:23" x14ac:dyDescent="0.2">
      <c r="A103" s="2" t="s">
        <v>8</v>
      </c>
      <c r="B103" s="3">
        <v>39.299999999999997</v>
      </c>
      <c r="C103" s="3">
        <v>38.5</v>
      </c>
      <c r="D103" s="3">
        <v>38.1</v>
      </c>
      <c r="F103" s="2" t="s">
        <v>9</v>
      </c>
      <c r="G103" s="4">
        <f>MIN(B102:D104)</f>
        <v>36</v>
      </c>
      <c r="I103" s="2" t="s">
        <v>8</v>
      </c>
      <c r="J103" s="3">
        <v>238</v>
      </c>
      <c r="K103" s="3">
        <v>255</v>
      </c>
      <c r="L103" s="3">
        <v>225</v>
      </c>
      <c r="N103" s="2" t="s">
        <v>9</v>
      </c>
      <c r="O103" s="4">
        <f>MIN(J102:L104)</f>
        <v>200</v>
      </c>
      <c r="Q103" s="2" t="s">
        <v>8</v>
      </c>
      <c r="R103" s="3">
        <v>41</v>
      </c>
      <c r="S103" s="3">
        <v>40.799999999999997</v>
      </c>
      <c r="T103" s="3">
        <v>39.5</v>
      </c>
      <c r="V103" s="2" t="s">
        <v>9</v>
      </c>
      <c r="W103" s="4">
        <f>MIN(R102:T104)</f>
        <v>36.9</v>
      </c>
    </row>
    <row r="104" spans="1:23" x14ac:dyDescent="0.2">
      <c r="A104" s="2" t="s">
        <v>10</v>
      </c>
      <c r="B104" s="3">
        <v>39.1</v>
      </c>
      <c r="C104" s="3">
        <v>39.6</v>
      </c>
      <c r="D104" s="3">
        <v>38.6</v>
      </c>
      <c r="F104" s="2" t="s">
        <v>11</v>
      </c>
      <c r="G104" s="4">
        <f>MAX(B102:D104)</f>
        <v>39.6</v>
      </c>
      <c r="I104" s="2" t="s">
        <v>10</v>
      </c>
      <c r="J104" s="3">
        <v>217</v>
      </c>
      <c r="K104" s="3">
        <v>217</v>
      </c>
      <c r="L104" s="3">
        <v>204</v>
      </c>
      <c r="N104" s="2" t="s">
        <v>11</v>
      </c>
      <c r="O104" s="4">
        <f>MAX(J102:L104)</f>
        <v>255</v>
      </c>
      <c r="Q104" s="2" t="s">
        <v>10</v>
      </c>
      <c r="R104" s="3">
        <v>39.6</v>
      </c>
      <c r="S104" s="3">
        <v>39.6</v>
      </c>
      <c r="T104" s="3">
        <v>38.4</v>
      </c>
      <c r="V104" s="2" t="s">
        <v>11</v>
      </c>
      <c r="W104" s="4">
        <f>MAX(R102:T104)</f>
        <v>41</v>
      </c>
    </row>
    <row r="105" spans="1:23" x14ac:dyDescent="0.2">
      <c r="F105" s="2" t="s">
        <v>12</v>
      </c>
      <c r="G105" s="4">
        <f>G104-G103</f>
        <v>3.6000000000000014</v>
      </c>
      <c r="N105" s="2" t="s">
        <v>12</v>
      </c>
      <c r="O105" s="4">
        <f>O104-O103</f>
        <v>55</v>
      </c>
      <c r="V105" s="2" t="s">
        <v>12</v>
      </c>
      <c r="W105" s="4">
        <f>W104-W103</f>
        <v>4.1000000000000014</v>
      </c>
    </row>
    <row r="106" spans="1:23" x14ac:dyDescent="0.2">
      <c r="A106" s="5" t="s">
        <v>13</v>
      </c>
      <c r="F106" s="12" t="s">
        <v>67</v>
      </c>
      <c r="G106" s="13">
        <f>_xlfn.STDEV.S(B102:D104)</f>
        <v>1.1602202855971406</v>
      </c>
      <c r="N106" s="12" t="s">
        <v>66</v>
      </c>
      <c r="O106" s="13">
        <f>((MAX(J102:L104)-MIN(J102:L104))/(MAX(J102:L104)+MIN(J102:L104)))*100</f>
        <v>12.087912087912088</v>
      </c>
      <c r="V106" s="12" t="s">
        <v>67</v>
      </c>
      <c r="W106" s="13">
        <f>_xlfn.STDEV.S(R102:T104)</f>
        <v>1.25</v>
      </c>
    </row>
    <row r="107" spans="1:23" x14ac:dyDescent="0.2">
      <c r="A107" s="6" t="s">
        <v>14</v>
      </c>
      <c r="C107" s="34" t="s">
        <v>59</v>
      </c>
      <c r="D107" s="35"/>
      <c r="E107" s="35"/>
      <c r="F107" s="35"/>
      <c r="G107" s="35"/>
    </row>
    <row r="108" spans="1:23" x14ac:dyDescent="0.2">
      <c r="A108" s="6" t="s">
        <v>16</v>
      </c>
      <c r="C108" s="34" t="s">
        <v>17</v>
      </c>
      <c r="D108" s="35"/>
      <c r="E108" s="35"/>
      <c r="F108" s="35"/>
      <c r="G108" s="35"/>
    </row>
    <row r="109" spans="1:23" x14ac:dyDescent="0.2">
      <c r="A109" s="6" t="s">
        <v>18</v>
      </c>
      <c r="C109" s="34" t="s">
        <v>53</v>
      </c>
      <c r="D109" s="35"/>
      <c r="E109" s="35"/>
      <c r="F109" s="35"/>
      <c r="G109" s="35"/>
    </row>
    <row r="110" spans="1:23" x14ac:dyDescent="0.2">
      <c r="A110" s="6" t="s">
        <v>19</v>
      </c>
      <c r="C110" s="34" t="s">
        <v>61</v>
      </c>
      <c r="D110" s="35"/>
      <c r="E110" s="35"/>
      <c r="F110" s="35"/>
      <c r="G110" s="35"/>
    </row>
  </sheetData>
  <mergeCells count="71">
    <mergeCell ref="C107:G107"/>
    <mergeCell ref="C108:G108"/>
    <mergeCell ref="C109:G109"/>
    <mergeCell ref="C110:G110"/>
    <mergeCell ref="I100:L100"/>
    <mergeCell ref="Q100:T100"/>
    <mergeCell ref="F101:G101"/>
    <mergeCell ref="N101:O101"/>
    <mergeCell ref="V101:W101"/>
    <mergeCell ref="C92:G92"/>
    <mergeCell ref="C93:G93"/>
    <mergeCell ref="C94:G94"/>
    <mergeCell ref="C95:G95"/>
    <mergeCell ref="A100:D100"/>
    <mergeCell ref="I85:L85"/>
    <mergeCell ref="Q85:T85"/>
    <mergeCell ref="F86:G86"/>
    <mergeCell ref="N86:O86"/>
    <mergeCell ref="V86:W86"/>
    <mergeCell ref="C74:G74"/>
    <mergeCell ref="C75:G75"/>
    <mergeCell ref="C76:G76"/>
    <mergeCell ref="C77:G77"/>
    <mergeCell ref="A85:D85"/>
    <mergeCell ref="I67:L67"/>
    <mergeCell ref="Q67:T67"/>
    <mergeCell ref="F68:G68"/>
    <mergeCell ref="N68:O68"/>
    <mergeCell ref="V68:W68"/>
    <mergeCell ref="C51:G51"/>
    <mergeCell ref="C52:G52"/>
    <mergeCell ref="C53:G53"/>
    <mergeCell ref="C54:G54"/>
    <mergeCell ref="A67:D67"/>
    <mergeCell ref="V30:W30"/>
    <mergeCell ref="A44:D44"/>
    <mergeCell ref="I44:L44"/>
    <mergeCell ref="Q44:T44"/>
    <mergeCell ref="F45:G45"/>
    <mergeCell ref="N45:O45"/>
    <mergeCell ref="V45:W45"/>
    <mergeCell ref="C39:G39"/>
    <mergeCell ref="N30:O30"/>
    <mergeCell ref="C38:G38"/>
    <mergeCell ref="C37:G37"/>
    <mergeCell ref="C36:G36"/>
    <mergeCell ref="F30:G30"/>
    <mergeCell ref="R3:U3"/>
    <mergeCell ref="W4:X4"/>
    <mergeCell ref="Q16:T16"/>
    <mergeCell ref="V17:W17"/>
    <mergeCell ref="Q29:T29"/>
    <mergeCell ref="A1:M1"/>
    <mergeCell ref="C12:G12"/>
    <mergeCell ref="C11:G11"/>
    <mergeCell ref="I16:L16"/>
    <mergeCell ref="A16:D16"/>
    <mergeCell ref="C10:G10"/>
    <mergeCell ref="I3:L3"/>
    <mergeCell ref="A3:D3"/>
    <mergeCell ref="C13:G13"/>
    <mergeCell ref="N17:O17"/>
    <mergeCell ref="F4:G4"/>
    <mergeCell ref="C24:G24"/>
    <mergeCell ref="A29:D29"/>
    <mergeCell ref="I29:L29"/>
    <mergeCell ref="C26:G26"/>
    <mergeCell ref="N4:O4"/>
    <mergeCell ref="C23:G23"/>
    <mergeCell ref="C25:G25"/>
    <mergeCell ref="F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5" customWidth="1"/>
    <col min="2" max="2" width="13" customWidth="1"/>
    <col min="3" max="3" width="21" customWidth="1"/>
    <col min="4" max="4" width="12" customWidth="1"/>
    <col min="5" max="6" width="16" customWidth="1"/>
    <col min="7" max="7" width="18" customWidth="1"/>
    <col min="8" max="8" width="24" customWidth="1"/>
    <col min="9" max="9" width="26" customWidth="1"/>
    <col min="10" max="10" width="21" customWidth="1"/>
    <col min="11" max="11" width="29" customWidth="1"/>
  </cols>
  <sheetData>
    <row r="1" spans="1:11" ht="21" x14ac:dyDescent="0.2">
      <c r="A1" s="39" t="s">
        <v>26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3" spans="1:11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</row>
    <row r="4" spans="1:11" x14ac:dyDescent="0.2">
      <c r="A4" s="7" t="s">
        <v>38</v>
      </c>
      <c r="B4" s="7" t="s">
        <v>39</v>
      </c>
      <c r="C4" s="7">
        <v>90</v>
      </c>
      <c r="D4" s="7" t="s">
        <v>17</v>
      </c>
      <c r="E4" s="7" t="s">
        <v>40</v>
      </c>
      <c r="F4" s="4">
        <f>'Lab Test Data Grids'!G5</f>
        <v>31.888888888888889</v>
      </c>
      <c r="G4" s="4">
        <f>'Lab Test Data Grids'!G8</f>
        <v>4.7999999999999972</v>
      </c>
      <c r="H4" s="4">
        <f>'Lab Test Data Grids'!O5</f>
        <v>384.22222222222223</v>
      </c>
      <c r="I4" s="4">
        <f>'Lab Test Data Grids'!O8</f>
        <v>82</v>
      </c>
      <c r="J4" s="8" t="s">
        <v>41</v>
      </c>
      <c r="K4" s="8" t="s">
        <v>42</v>
      </c>
    </row>
    <row r="5" spans="1:11" x14ac:dyDescent="0.2">
      <c r="A5" s="9" t="s">
        <v>43</v>
      </c>
      <c r="B5" s="9" t="s">
        <v>39</v>
      </c>
      <c r="C5" s="9">
        <v>60</v>
      </c>
      <c r="D5" s="9" t="s">
        <v>44</v>
      </c>
      <c r="E5" s="9" t="s">
        <v>40</v>
      </c>
      <c r="F5" s="10">
        <f>'Lab Test Data Grids'!G18</f>
        <v>33.87777777777778</v>
      </c>
      <c r="G5" s="10">
        <f>'Lab Test Data Grids'!G21</f>
        <v>5.3000000000000007</v>
      </c>
      <c r="H5" s="10">
        <f>'Lab Test Data Grids'!O18</f>
        <v>392.11111111111109</v>
      </c>
      <c r="I5" s="10">
        <f>'Lab Test Data Grids'!O21</f>
        <v>90</v>
      </c>
      <c r="J5" s="11" t="s">
        <v>45</v>
      </c>
      <c r="K5" s="11" t="s">
        <v>46</v>
      </c>
    </row>
    <row r="6" spans="1:11" x14ac:dyDescent="0.2">
      <c r="A6" s="7" t="s">
        <v>47</v>
      </c>
      <c r="B6" s="7" t="s">
        <v>39</v>
      </c>
      <c r="C6" s="7">
        <v>40</v>
      </c>
      <c r="D6" s="7" t="s">
        <v>48</v>
      </c>
      <c r="E6" s="7" t="s">
        <v>40</v>
      </c>
      <c r="F6" s="4">
        <f>'Lab Test Data Grids'!G31</f>
        <v>30.888888888888889</v>
      </c>
      <c r="G6" s="4">
        <f>'Lab Test Data Grids'!G34</f>
        <v>5.3999999999999986</v>
      </c>
      <c r="H6" s="4">
        <f>'Lab Test Data Grids'!O31</f>
        <v>861.88888888888891</v>
      </c>
      <c r="I6" s="4">
        <f>'Lab Test Data Grids'!O34</f>
        <v>169</v>
      </c>
      <c r="J6" s="8" t="s">
        <v>49</v>
      </c>
      <c r="K6" s="8" t="s">
        <v>50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B66-A4AC-A745-B69F-AC8D444517DA}">
  <dimension ref="A1:W29"/>
  <sheetViews>
    <sheetView workbookViewId="0">
      <selection activeCell="M39" sqref="M39"/>
    </sheetView>
  </sheetViews>
  <sheetFormatPr baseColWidth="10" defaultRowHeight="15" x14ac:dyDescent="0.2"/>
  <sheetData>
    <row r="1" spans="1:23" ht="21" x14ac:dyDescent="0.2">
      <c r="A1" s="39" t="s">
        <v>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1:23" x14ac:dyDescent="0.2">
      <c r="A3" s="36" t="s">
        <v>20</v>
      </c>
      <c r="B3" s="37"/>
      <c r="C3" s="37"/>
      <c r="D3" s="37"/>
      <c r="I3" s="36" t="s">
        <v>21</v>
      </c>
      <c r="J3" s="37"/>
      <c r="K3" s="37"/>
      <c r="L3" s="37"/>
      <c r="Q3" s="36" t="s">
        <v>57</v>
      </c>
      <c r="R3" s="37"/>
      <c r="S3" s="37"/>
      <c r="T3" s="37"/>
    </row>
    <row r="4" spans="1:23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  <c r="Q4" s="1" t="s">
        <v>1</v>
      </c>
      <c r="R4" s="1" t="s">
        <v>2</v>
      </c>
      <c r="S4" s="1" t="s">
        <v>3</v>
      </c>
      <c r="T4" s="1" t="s">
        <v>4</v>
      </c>
      <c r="V4" s="38" t="s">
        <v>5</v>
      </c>
      <c r="W4" s="37"/>
    </row>
    <row r="5" spans="1:23" x14ac:dyDescent="0.2">
      <c r="A5" s="2" t="s">
        <v>6</v>
      </c>
      <c r="B5" s="3">
        <v>31.5</v>
      </c>
      <c r="C5" s="3">
        <v>30.8</v>
      </c>
      <c r="D5" s="3">
        <v>30.2</v>
      </c>
      <c r="F5" s="2" t="s">
        <v>7</v>
      </c>
      <c r="G5" s="4">
        <f>AVERAGE(B5:D7)</f>
        <v>33.522222222222226</v>
      </c>
      <c r="I5" s="2" t="s">
        <v>6</v>
      </c>
      <c r="J5" s="3">
        <v>826</v>
      </c>
      <c r="K5" s="3">
        <v>934</v>
      </c>
      <c r="L5" s="3">
        <v>826</v>
      </c>
      <c r="N5" s="2" t="s">
        <v>7</v>
      </c>
      <c r="O5" s="4">
        <f>AVERAGE(J5:L7)</f>
        <v>887.44444444444446</v>
      </c>
      <c r="Q5" s="2" t="s">
        <v>6</v>
      </c>
      <c r="R5" s="3">
        <v>40.4</v>
      </c>
      <c r="S5" s="3">
        <v>38.700000000000003</v>
      </c>
      <c r="T5" s="3">
        <v>37</v>
      </c>
      <c r="V5" s="2" t="s">
        <v>7</v>
      </c>
      <c r="W5" s="4">
        <f>AVERAGE(R5:T7)</f>
        <v>40.277777777777779</v>
      </c>
    </row>
    <row r="6" spans="1:23" x14ac:dyDescent="0.2">
      <c r="A6" s="2" t="s">
        <v>8</v>
      </c>
      <c r="B6" s="3">
        <v>33.200000000000003</v>
      </c>
      <c r="C6" s="3">
        <v>33.5</v>
      </c>
      <c r="D6" s="3">
        <v>32.299999999999997</v>
      </c>
      <c r="F6" s="2" t="s">
        <v>9</v>
      </c>
      <c r="G6" s="4">
        <f>MIN(B5:D7)</f>
        <v>30.2</v>
      </c>
      <c r="I6" s="2" t="s">
        <v>8</v>
      </c>
      <c r="J6" s="3">
        <v>874</v>
      </c>
      <c r="K6" s="3">
        <v>1003</v>
      </c>
      <c r="L6" s="3">
        <v>872</v>
      </c>
      <c r="N6" s="2" t="s">
        <v>9</v>
      </c>
      <c r="O6" s="4">
        <f>MIN(J5:L7)</f>
        <v>826</v>
      </c>
      <c r="Q6" s="2" t="s">
        <v>8</v>
      </c>
      <c r="R6" s="3">
        <v>41</v>
      </c>
      <c r="S6" s="3">
        <v>40.9</v>
      </c>
      <c r="T6" s="3">
        <v>37.4</v>
      </c>
      <c r="V6" s="2" t="s">
        <v>9</v>
      </c>
      <c r="W6" s="4">
        <f>MIN(R5:T7)</f>
        <v>37</v>
      </c>
    </row>
    <row r="7" spans="1:23" x14ac:dyDescent="0.2">
      <c r="A7" s="2" t="s">
        <v>10</v>
      </c>
      <c r="B7" s="3">
        <v>36.1</v>
      </c>
      <c r="C7" s="3">
        <v>38</v>
      </c>
      <c r="D7" s="3">
        <v>36.1</v>
      </c>
      <c r="F7" s="2" t="s">
        <v>11</v>
      </c>
      <c r="G7" s="4">
        <f>MAX(B5:D7)</f>
        <v>38</v>
      </c>
      <c r="I7" s="2" t="s">
        <v>10</v>
      </c>
      <c r="J7" s="3">
        <v>852</v>
      </c>
      <c r="K7" s="3">
        <v>960</v>
      </c>
      <c r="L7" s="3">
        <v>840</v>
      </c>
      <c r="N7" s="2" t="s">
        <v>11</v>
      </c>
      <c r="O7" s="4">
        <f>MAX(J5:L7)</f>
        <v>1003</v>
      </c>
      <c r="Q7" s="2" t="s">
        <v>10</v>
      </c>
      <c r="R7" s="3">
        <v>42.9</v>
      </c>
      <c r="S7" s="3">
        <v>42.9</v>
      </c>
      <c r="T7" s="3">
        <v>41.3</v>
      </c>
      <c r="V7" s="2" t="s">
        <v>11</v>
      </c>
      <c r="W7" s="4">
        <f>MAX(R5:T7)</f>
        <v>42.9</v>
      </c>
    </row>
    <row r="8" spans="1:23" x14ac:dyDescent="0.2">
      <c r="F8" s="2" t="s">
        <v>12</v>
      </c>
      <c r="G8" s="4">
        <f>G7-G6</f>
        <v>7.8000000000000007</v>
      </c>
      <c r="N8" s="2" t="s">
        <v>12</v>
      </c>
      <c r="O8" s="4">
        <f>O7-O6</f>
        <v>177</v>
      </c>
      <c r="V8" s="2" t="s">
        <v>12</v>
      </c>
      <c r="W8" s="4">
        <f>W7-W6</f>
        <v>5.8999999999999986</v>
      </c>
    </row>
    <row r="9" spans="1:23" x14ac:dyDescent="0.2">
      <c r="A9" s="5" t="s">
        <v>13</v>
      </c>
      <c r="F9" s="12" t="s">
        <v>67</v>
      </c>
      <c r="G9" s="13">
        <f>_xlfn.STDEV.S(B5:D7)</f>
        <v>2.6803813990632839</v>
      </c>
      <c r="N9" s="12" t="s">
        <v>66</v>
      </c>
      <c r="O9" s="13">
        <f>((MAX(J5:L7)-MIN(J5:L7))/(MAX(J5:L7)+MIN(J5:L7)))*100</f>
        <v>9.67741935483871</v>
      </c>
      <c r="V9" s="12" t="s">
        <v>67</v>
      </c>
      <c r="W9" s="13">
        <f>_xlfn.STDEV.S(R5:T7)</f>
        <v>2.1574161500379203</v>
      </c>
    </row>
    <row r="10" spans="1:23" x14ac:dyDescent="0.2">
      <c r="A10" s="6" t="s">
        <v>14</v>
      </c>
      <c r="C10" s="34" t="s">
        <v>22</v>
      </c>
      <c r="D10" s="35"/>
      <c r="E10" s="35"/>
      <c r="F10" s="35"/>
      <c r="G10" s="35"/>
    </row>
    <row r="11" spans="1:23" x14ac:dyDescent="0.2">
      <c r="A11" s="6" t="s">
        <v>16</v>
      </c>
      <c r="C11" s="34" t="s">
        <v>56</v>
      </c>
      <c r="D11" s="35"/>
      <c r="E11" s="35"/>
      <c r="F11" s="35"/>
      <c r="G11" s="35"/>
    </row>
    <row r="12" spans="1:23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23" x14ac:dyDescent="0.2">
      <c r="A13" s="6" t="s">
        <v>19</v>
      </c>
      <c r="C13" s="34" t="s">
        <v>71</v>
      </c>
      <c r="D13" s="35"/>
      <c r="E13" s="35"/>
      <c r="F13" s="35"/>
      <c r="G13" s="35"/>
    </row>
    <row r="19" spans="1:23" x14ac:dyDescent="0.2">
      <c r="A19" s="36" t="s">
        <v>20</v>
      </c>
      <c r="B19" s="37"/>
      <c r="C19" s="37"/>
      <c r="D19" s="37"/>
      <c r="I19" s="36" t="s">
        <v>21</v>
      </c>
      <c r="J19" s="37"/>
      <c r="K19" s="37"/>
      <c r="L19" s="37"/>
      <c r="Q19" s="36" t="s">
        <v>57</v>
      </c>
      <c r="R19" s="37"/>
      <c r="S19" s="37"/>
      <c r="T19" s="37"/>
    </row>
    <row r="20" spans="1:23" x14ac:dyDescent="0.2">
      <c r="A20" s="1" t="s">
        <v>1</v>
      </c>
      <c r="B20" s="1" t="s">
        <v>2</v>
      </c>
      <c r="C20" s="1" t="s">
        <v>3</v>
      </c>
      <c r="D20" s="1" t="s">
        <v>4</v>
      </c>
      <c r="F20" s="38" t="s">
        <v>5</v>
      </c>
      <c r="G20" s="37"/>
      <c r="I20" s="1" t="s">
        <v>1</v>
      </c>
      <c r="J20" s="1" t="s">
        <v>2</v>
      </c>
      <c r="K20" s="1" t="s">
        <v>3</v>
      </c>
      <c r="L20" s="1" t="s">
        <v>4</v>
      </c>
      <c r="N20" s="38" t="s">
        <v>5</v>
      </c>
      <c r="O20" s="37"/>
      <c r="Q20" s="1" t="s">
        <v>1</v>
      </c>
      <c r="R20" s="1" t="s">
        <v>2</v>
      </c>
      <c r="S20" s="1" t="s">
        <v>3</v>
      </c>
      <c r="T20" s="1" t="s">
        <v>4</v>
      </c>
      <c r="V20" s="38" t="s">
        <v>5</v>
      </c>
      <c r="W20" s="37"/>
    </row>
    <row r="21" spans="1:23" x14ac:dyDescent="0.2">
      <c r="A21" s="2" t="s">
        <v>6</v>
      </c>
      <c r="B21" s="3">
        <v>27.7</v>
      </c>
      <c r="C21" s="3">
        <v>26.9</v>
      </c>
      <c r="D21" s="3">
        <v>27</v>
      </c>
      <c r="F21" s="2" t="s">
        <v>7</v>
      </c>
      <c r="G21" s="4">
        <f>AVERAGE(B21:D23)</f>
        <v>28.477777777777778</v>
      </c>
      <c r="I21" s="2" t="s">
        <v>6</v>
      </c>
      <c r="J21" s="3">
        <v>285</v>
      </c>
      <c r="K21" s="3">
        <v>262</v>
      </c>
      <c r="L21" s="3">
        <v>256</v>
      </c>
      <c r="N21" s="2" t="s">
        <v>7</v>
      </c>
      <c r="O21" s="4">
        <f>AVERAGE(J21:L23)</f>
        <v>292.33333333333331</v>
      </c>
      <c r="Q21" s="2" t="s">
        <v>6</v>
      </c>
      <c r="R21" s="3">
        <v>30.4</v>
      </c>
      <c r="S21" s="3">
        <v>30.2</v>
      </c>
      <c r="T21" s="3">
        <v>29.9</v>
      </c>
      <c r="V21" s="2" t="s">
        <v>7</v>
      </c>
      <c r="W21" s="4">
        <f>AVERAGE(R21:T23)</f>
        <v>31.224999999999998</v>
      </c>
    </row>
    <row r="22" spans="1:23" x14ac:dyDescent="0.2">
      <c r="A22" s="2" t="s">
        <v>8</v>
      </c>
      <c r="B22" s="3">
        <v>28.7</v>
      </c>
      <c r="C22" s="3">
        <v>29.2</v>
      </c>
      <c r="D22" s="3">
        <v>28.3</v>
      </c>
      <c r="F22" s="2" t="s">
        <v>9</v>
      </c>
      <c r="G22" s="4">
        <f>MIN(B21:D23)</f>
        <v>26.9</v>
      </c>
      <c r="I22" s="2" t="s">
        <v>8</v>
      </c>
      <c r="J22" s="3">
        <v>301</v>
      </c>
      <c r="K22" s="3">
        <v>303</v>
      </c>
      <c r="L22" s="3">
        <v>284</v>
      </c>
      <c r="N22" s="2" t="s">
        <v>9</v>
      </c>
      <c r="O22" s="4">
        <f>MIN(J21:L23)</f>
        <v>256</v>
      </c>
      <c r="Q22" s="2" t="s">
        <v>8</v>
      </c>
      <c r="R22" s="3">
        <v>31.6</v>
      </c>
      <c r="S22" s="3" t="s">
        <v>72</v>
      </c>
      <c r="T22" s="3">
        <v>30.9</v>
      </c>
      <c r="V22" s="2" t="s">
        <v>9</v>
      </c>
      <c r="W22" s="4">
        <f>MIN(R21:T23)</f>
        <v>29.9</v>
      </c>
    </row>
    <row r="23" spans="1:23" x14ac:dyDescent="0.2">
      <c r="A23" s="2" t="s">
        <v>10</v>
      </c>
      <c r="B23" s="3">
        <v>29.4</v>
      </c>
      <c r="C23" s="3">
        <v>29.5</v>
      </c>
      <c r="D23" s="3">
        <v>29.6</v>
      </c>
      <c r="F23" s="2" t="s">
        <v>11</v>
      </c>
      <c r="G23" s="4">
        <f>MAX(B21:D23)</f>
        <v>29.6</v>
      </c>
      <c r="I23" s="2" t="s">
        <v>10</v>
      </c>
      <c r="J23" s="3">
        <v>315</v>
      </c>
      <c r="K23" s="3">
        <v>324</v>
      </c>
      <c r="L23" s="3">
        <v>301</v>
      </c>
      <c r="N23" s="2" t="s">
        <v>11</v>
      </c>
      <c r="O23" s="4">
        <f>MAX(J21:L23)</f>
        <v>324</v>
      </c>
      <c r="Q23" s="2" t="s">
        <v>10</v>
      </c>
      <c r="R23" s="3">
        <v>32.1</v>
      </c>
      <c r="S23" s="3">
        <v>32.6</v>
      </c>
      <c r="T23" s="3">
        <v>32.1</v>
      </c>
      <c r="V23" s="2" t="s">
        <v>11</v>
      </c>
      <c r="W23" s="4">
        <f>MAX(R21:T23)</f>
        <v>32.6</v>
      </c>
    </row>
    <row r="24" spans="1:23" x14ac:dyDescent="0.2">
      <c r="F24" s="2" t="s">
        <v>12</v>
      </c>
      <c r="G24" s="4">
        <f>G23-G22</f>
        <v>2.7000000000000028</v>
      </c>
      <c r="N24" s="2" t="s">
        <v>12</v>
      </c>
      <c r="O24" s="4">
        <f>O23-O22</f>
        <v>68</v>
      </c>
      <c r="V24" s="2" t="s">
        <v>12</v>
      </c>
      <c r="W24" s="4">
        <f>W23-W22</f>
        <v>2.7000000000000028</v>
      </c>
    </row>
    <row r="25" spans="1:23" x14ac:dyDescent="0.2">
      <c r="A25" s="5" t="s">
        <v>13</v>
      </c>
      <c r="F25" s="12" t="s">
        <v>67</v>
      </c>
      <c r="G25" s="13">
        <f>_xlfn.STDEV.S(B21:D23)</f>
        <v>1.0627532377953244</v>
      </c>
      <c r="N25" s="12" t="s">
        <v>66</v>
      </c>
      <c r="O25" s="13">
        <f>((MAX(J21:L23)-MIN(J21:L23))/(MAX(J21:L23)+MIN(J21:L23)))*100</f>
        <v>11.724137931034482</v>
      </c>
      <c r="V25" s="12" t="s">
        <v>67</v>
      </c>
      <c r="W25" s="13">
        <f>_xlfn.STDEV.S(R21:T23)</f>
        <v>1.0110108096073256</v>
      </c>
    </row>
    <row r="26" spans="1:23" x14ac:dyDescent="0.2">
      <c r="A26" s="6" t="s">
        <v>14</v>
      </c>
      <c r="C26" s="34" t="s">
        <v>22</v>
      </c>
      <c r="D26" s="35"/>
      <c r="E26" s="35"/>
      <c r="F26" s="35"/>
      <c r="G26" s="35"/>
    </row>
    <row r="27" spans="1:23" x14ac:dyDescent="0.2">
      <c r="A27" s="6" t="s">
        <v>16</v>
      </c>
      <c r="C27" s="34" t="s">
        <v>56</v>
      </c>
      <c r="D27" s="35"/>
      <c r="E27" s="35"/>
      <c r="F27" s="35"/>
      <c r="G27" s="35"/>
    </row>
    <row r="28" spans="1:23" x14ac:dyDescent="0.2">
      <c r="A28" s="6" t="s">
        <v>18</v>
      </c>
      <c r="C28" s="34" t="s">
        <v>53</v>
      </c>
      <c r="D28" s="35"/>
      <c r="E28" s="35"/>
      <c r="F28" s="35"/>
      <c r="G28" s="35"/>
    </row>
    <row r="29" spans="1:23" x14ac:dyDescent="0.2">
      <c r="A29" s="6" t="s">
        <v>19</v>
      </c>
      <c r="C29" s="34" t="s">
        <v>73</v>
      </c>
      <c r="D29" s="35"/>
      <c r="E29" s="35"/>
      <c r="F29" s="35"/>
      <c r="G29" s="35"/>
    </row>
  </sheetData>
  <mergeCells count="21">
    <mergeCell ref="C28:G28"/>
    <mergeCell ref="C29:G29"/>
    <mergeCell ref="Q19:T19"/>
    <mergeCell ref="F20:G20"/>
    <mergeCell ref="N20:O20"/>
    <mergeCell ref="C26:G26"/>
    <mergeCell ref="C27:G27"/>
    <mergeCell ref="I19:L19"/>
    <mergeCell ref="A1:M1"/>
    <mergeCell ref="A3:D3"/>
    <mergeCell ref="I3:L3"/>
    <mergeCell ref="V20:W20"/>
    <mergeCell ref="Q3:T3"/>
    <mergeCell ref="F4:G4"/>
    <mergeCell ref="N4:O4"/>
    <mergeCell ref="V4:W4"/>
    <mergeCell ref="C10:G10"/>
    <mergeCell ref="C11:G11"/>
    <mergeCell ref="C12:G12"/>
    <mergeCell ref="C13:G13"/>
    <mergeCell ref="A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4E75-BADE-0243-B0FF-24D7A80C5C54}">
  <dimension ref="A1:W65"/>
  <sheetViews>
    <sheetView workbookViewId="0">
      <selection activeCell="I31" sqref="I31"/>
    </sheetView>
  </sheetViews>
  <sheetFormatPr baseColWidth="10" defaultRowHeight="15" x14ac:dyDescent="0.2"/>
  <sheetData>
    <row r="1" spans="1:23" ht="21" x14ac:dyDescent="0.2">
      <c r="A1" s="39" t="s">
        <v>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1:23" x14ac:dyDescent="0.2">
      <c r="A3" s="36" t="s">
        <v>20</v>
      </c>
      <c r="B3" s="37"/>
      <c r="C3" s="37"/>
      <c r="D3" s="37"/>
      <c r="I3" s="36" t="s">
        <v>21</v>
      </c>
      <c r="J3" s="37"/>
      <c r="K3" s="37"/>
      <c r="L3" s="37"/>
      <c r="Q3" s="36" t="s">
        <v>57</v>
      </c>
      <c r="R3" s="37"/>
      <c r="S3" s="37"/>
      <c r="T3" s="37"/>
    </row>
    <row r="4" spans="1:23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  <c r="Q4" s="1" t="s">
        <v>1</v>
      </c>
      <c r="R4" s="1" t="s">
        <v>2</v>
      </c>
      <c r="S4" s="1" t="s">
        <v>3</v>
      </c>
      <c r="T4" s="1" t="s">
        <v>4</v>
      </c>
      <c r="V4" s="38" t="s">
        <v>5</v>
      </c>
      <c r="W4" s="37"/>
    </row>
    <row r="5" spans="1:23" x14ac:dyDescent="0.2">
      <c r="A5" s="2" t="s">
        <v>6</v>
      </c>
      <c r="B5" s="3">
        <v>32.299999999999997</v>
      </c>
      <c r="C5" s="3">
        <v>31.2</v>
      </c>
      <c r="D5" s="3">
        <v>32</v>
      </c>
      <c r="F5" s="2" t="s">
        <v>7</v>
      </c>
      <c r="G5" s="4">
        <f>AVERAGE(B5:D7)</f>
        <v>32.388888888888886</v>
      </c>
      <c r="I5" s="2" t="s">
        <v>6</v>
      </c>
      <c r="J5" s="3">
        <v>153</v>
      </c>
      <c r="K5" s="3">
        <v>165</v>
      </c>
      <c r="L5" s="3">
        <v>151</v>
      </c>
      <c r="N5" s="2" t="s">
        <v>7</v>
      </c>
      <c r="O5" s="4">
        <f>AVERAGE(J5:L7)</f>
        <v>167.11111111111111</v>
      </c>
      <c r="Q5" s="2" t="s">
        <v>6</v>
      </c>
      <c r="R5" s="3">
        <v>32.1</v>
      </c>
      <c r="S5" s="3">
        <v>32.5</v>
      </c>
      <c r="T5" s="3">
        <v>33.5</v>
      </c>
      <c r="V5" s="2" t="s">
        <v>7</v>
      </c>
      <c r="W5" s="4">
        <f>AVERAGE(R5:T7)</f>
        <v>33.099999999999994</v>
      </c>
    </row>
    <row r="6" spans="1:23" x14ac:dyDescent="0.2">
      <c r="A6" s="2" t="s">
        <v>8</v>
      </c>
      <c r="B6" s="3">
        <v>30.4</v>
      </c>
      <c r="C6" s="3">
        <v>31.7</v>
      </c>
      <c r="D6" s="3">
        <v>33.1</v>
      </c>
      <c r="F6" s="2" t="s">
        <v>9</v>
      </c>
      <c r="G6" s="4">
        <f>MIN(B5:D7)</f>
        <v>30.4</v>
      </c>
      <c r="I6" s="2" t="s">
        <v>8</v>
      </c>
      <c r="J6" s="3">
        <v>177</v>
      </c>
      <c r="K6" s="3">
        <v>186</v>
      </c>
      <c r="L6" s="3">
        <v>170</v>
      </c>
      <c r="N6" s="2" t="s">
        <v>9</v>
      </c>
      <c r="O6" s="4">
        <f>MIN(J5:L7)</f>
        <v>151</v>
      </c>
      <c r="Q6" s="2" t="s">
        <v>8</v>
      </c>
      <c r="R6" s="3">
        <v>31.5</v>
      </c>
      <c r="S6" s="3">
        <v>32.5</v>
      </c>
      <c r="T6" s="3">
        <v>32.4</v>
      </c>
      <c r="V6" s="2" t="s">
        <v>9</v>
      </c>
      <c r="W6" s="4">
        <f>MIN(R5:T7)</f>
        <v>31.5</v>
      </c>
    </row>
    <row r="7" spans="1:23" x14ac:dyDescent="0.2">
      <c r="A7" s="2" t="s">
        <v>10</v>
      </c>
      <c r="B7" s="3">
        <v>33.4</v>
      </c>
      <c r="C7" s="3">
        <v>34.1</v>
      </c>
      <c r="D7" s="3">
        <v>33.299999999999997</v>
      </c>
      <c r="F7" s="2" t="s">
        <v>11</v>
      </c>
      <c r="G7" s="4">
        <f>MAX(B5:D7)</f>
        <v>34.1</v>
      </c>
      <c r="I7" s="2" t="s">
        <v>10</v>
      </c>
      <c r="J7" s="3">
        <v>168</v>
      </c>
      <c r="K7" s="3">
        <v>175</v>
      </c>
      <c r="L7" s="3">
        <v>159</v>
      </c>
      <c r="N7" s="2" t="s">
        <v>11</v>
      </c>
      <c r="O7" s="4">
        <f>MAX(J5:L7)</f>
        <v>186</v>
      </c>
      <c r="Q7" s="2" t="s">
        <v>10</v>
      </c>
      <c r="R7" s="3">
        <v>34.1</v>
      </c>
      <c r="S7" s="3">
        <v>34.799999999999997</v>
      </c>
      <c r="T7" s="3">
        <v>34.5</v>
      </c>
      <c r="V7" s="2" t="s">
        <v>11</v>
      </c>
      <c r="W7" s="4">
        <f>MAX(R5:T7)</f>
        <v>34.799999999999997</v>
      </c>
    </row>
    <row r="8" spans="1:23" x14ac:dyDescent="0.2">
      <c r="F8" s="2" t="s">
        <v>12</v>
      </c>
      <c r="G8" s="4">
        <f>G7-G6</f>
        <v>3.7000000000000028</v>
      </c>
      <c r="N8" s="2" t="s">
        <v>12</v>
      </c>
      <c r="O8" s="4">
        <f>O7-O6</f>
        <v>35</v>
      </c>
      <c r="V8" s="2" t="s">
        <v>12</v>
      </c>
      <c r="W8" s="4">
        <f>W7-W6</f>
        <v>3.2999999999999972</v>
      </c>
    </row>
    <row r="9" spans="1:23" x14ac:dyDescent="0.2">
      <c r="A9" s="5" t="s">
        <v>13</v>
      </c>
      <c r="F9" s="12" t="s">
        <v>67</v>
      </c>
      <c r="G9" s="13">
        <f>_xlfn.STDEV.S(B5:D7)</f>
        <v>1.1879019787470311</v>
      </c>
      <c r="N9" s="12" t="s">
        <v>66</v>
      </c>
      <c r="O9" s="13">
        <f>((MAX(J5:L7)-MIN(J5:L7))/(MAX(J5:L7)+MIN(J5:L7)))*100</f>
        <v>10.385756676557865</v>
      </c>
      <c r="V9" s="12" t="s">
        <v>67</v>
      </c>
      <c r="W9" s="13">
        <f>_xlfn.STDEV.S(R5:T7)</f>
        <v>1.1608186766243895</v>
      </c>
    </row>
    <row r="10" spans="1:23" x14ac:dyDescent="0.2">
      <c r="A10" s="6" t="s">
        <v>14</v>
      </c>
      <c r="C10" s="34" t="s">
        <v>77</v>
      </c>
      <c r="D10" s="35"/>
      <c r="E10" s="35"/>
      <c r="F10" s="35"/>
      <c r="G10" s="35"/>
    </row>
    <row r="11" spans="1:23" x14ac:dyDescent="0.2">
      <c r="A11" s="6" t="s">
        <v>16</v>
      </c>
      <c r="C11" s="34" t="s">
        <v>56</v>
      </c>
      <c r="D11" s="35"/>
      <c r="E11" s="35"/>
      <c r="F11" s="35"/>
      <c r="G11" s="35"/>
    </row>
    <row r="12" spans="1:23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23" x14ac:dyDescent="0.2">
      <c r="A13" s="6" t="s">
        <v>19</v>
      </c>
      <c r="C13" s="34" t="s">
        <v>74</v>
      </c>
      <c r="D13" s="35"/>
      <c r="E13" s="35"/>
      <c r="F13" s="35"/>
      <c r="G13" s="35"/>
    </row>
    <row r="18" spans="1:23" x14ac:dyDescent="0.2">
      <c r="A18" s="36" t="s">
        <v>20</v>
      </c>
      <c r="B18" s="37"/>
      <c r="C18" s="37"/>
      <c r="D18" s="37"/>
      <c r="I18" s="36" t="s">
        <v>21</v>
      </c>
      <c r="J18" s="37"/>
      <c r="K18" s="37"/>
      <c r="L18" s="37"/>
      <c r="Q18" s="36" t="s">
        <v>57</v>
      </c>
      <c r="R18" s="37"/>
      <c r="S18" s="37"/>
      <c r="T18" s="37"/>
    </row>
    <row r="19" spans="1:23" x14ac:dyDescent="0.2">
      <c r="A19" s="1" t="s">
        <v>1</v>
      </c>
      <c r="B19" s="1" t="s">
        <v>2</v>
      </c>
      <c r="C19" s="1" t="s">
        <v>3</v>
      </c>
      <c r="D19" s="1" t="s">
        <v>4</v>
      </c>
      <c r="F19" s="38" t="s">
        <v>5</v>
      </c>
      <c r="G19" s="37"/>
      <c r="I19" s="1" t="s">
        <v>1</v>
      </c>
      <c r="J19" s="1" t="s">
        <v>2</v>
      </c>
      <c r="K19" s="1" t="s">
        <v>3</v>
      </c>
      <c r="L19" s="1" t="s">
        <v>4</v>
      </c>
      <c r="N19" s="38" t="s">
        <v>5</v>
      </c>
      <c r="O19" s="37"/>
      <c r="Q19" s="1" t="s">
        <v>1</v>
      </c>
      <c r="R19" s="1" t="s">
        <v>2</v>
      </c>
      <c r="S19" s="1" t="s">
        <v>3</v>
      </c>
      <c r="T19" s="1" t="s">
        <v>4</v>
      </c>
      <c r="V19" s="38" t="s">
        <v>5</v>
      </c>
      <c r="W19" s="37"/>
    </row>
    <row r="20" spans="1:23" x14ac:dyDescent="0.2">
      <c r="A20" s="2" t="s">
        <v>6</v>
      </c>
      <c r="B20" s="3">
        <v>32.5</v>
      </c>
      <c r="C20" s="3">
        <v>32.700000000000003</v>
      </c>
      <c r="D20" s="3">
        <v>33.6</v>
      </c>
      <c r="F20" s="2" t="s">
        <v>7</v>
      </c>
      <c r="G20" s="4">
        <f>AVERAGE(B20:D22)</f>
        <v>34.677777777777777</v>
      </c>
      <c r="I20" s="2" t="s">
        <v>6</v>
      </c>
      <c r="J20" s="3">
        <v>300</v>
      </c>
      <c r="K20" s="3">
        <v>320</v>
      </c>
      <c r="L20" s="3">
        <v>280</v>
      </c>
      <c r="N20" s="2" t="s">
        <v>7</v>
      </c>
      <c r="O20" s="4">
        <f>AVERAGE(J20:L22)</f>
        <v>308.22222222222223</v>
      </c>
      <c r="Q20" s="2" t="s">
        <v>6</v>
      </c>
      <c r="R20" s="3">
        <v>33.4</v>
      </c>
      <c r="S20" s="3">
        <v>34.299999999999997</v>
      </c>
      <c r="T20" s="3">
        <v>35.4</v>
      </c>
      <c r="V20" s="2" t="s">
        <v>7</v>
      </c>
      <c r="W20" s="4">
        <f>AVERAGE(R20:T22)</f>
        <v>36.36666666666666</v>
      </c>
    </row>
    <row r="21" spans="1:23" x14ac:dyDescent="0.2">
      <c r="A21" s="2" t="s">
        <v>8</v>
      </c>
      <c r="B21" s="3">
        <v>34.6</v>
      </c>
      <c r="C21" s="3">
        <v>35.799999999999997</v>
      </c>
      <c r="D21" s="3">
        <v>34.6</v>
      </c>
      <c r="F21" s="2" t="s">
        <v>9</v>
      </c>
      <c r="G21" s="4">
        <f>MIN(B20:D22)</f>
        <v>32.5</v>
      </c>
      <c r="I21" s="2" t="s">
        <v>8</v>
      </c>
      <c r="J21" s="3">
        <v>330</v>
      </c>
      <c r="K21" s="3">
        <v>340</v>
      </c>
      <c r="L21" s="3">
        <v>297</v>
      </c>
      <c r="N21" s="2" t="s">
        <v>9</v>
      </c>
      <c r="O21" s="4">
        <f>MIN(J20:L22)</f>
        <v>270</v>
      </c>
      <c r="Q21" s="2" t="s">
        <v>8</v>
      </c>
      <c r="R21" s="3">
        <v>35.6</v>
      </c>
      <c r="S21" s="3">
        <v>36.6</v>
      </c>
      <c r="T21" s="3">
        <v>37.1</v>
      </c>
      <c r="V21" s="2" t="s">
        <v>9</v>
      </c>
      <c r="W21" s="4">
        <f>MIN(R20:T22)</f>
        <v>33.4</v>
      </c>
    </row>
    <row r="22" spans="1:23" x14ac:dyDescent="0.2">
      <c r="A22" s="2" t="s">
        <v>10</v>
      </c>
      <c r="B22" s="3">
        <v>35.799999999999997</v>
      </c>
      <c r="C22" s="3">
        <v>36.5</v>
      </c>
      <c r="D22" s="3">
        <v>36</v>
      </c>
      <c r="F22" s="2" t="s">
        <v>11</v>
      </c>
      <c r="G22" s="4">
        <f>MAX(B20:D22)</f>
        <v>36.5</v>
      </c>
      <c r="I22" s="2" t="s">
        <v>10</v>
      </c>
      <c r="J22" s="3">
        <v>317</v>
      </c>
      <c r="K22" s="3">
        <v>320</v>
      </c>
      <c r="L22" s="3">
        <v>270</v>
      </c>
      <c r="N22" s="2" t="s">
        <v>11</v>
      </c>
      <c r="O22" s="4">
        <f>MAX(J20:L22)</f>
        <v>340</v>
      </c>
      <c r="Q22" s="2" t="s">
        <v>10</v>
      </c>
      <c r="R22" s="3">
        <v>38.1</v>
      </c>
      <c r="S22" s="3">
        <v>38.299999999999997</v>
      </c>
      <c r="T22" s="3">
        <v>38.5</v>
      </c>
      <c r="V22" s="2" t="s">
        <v>11</v>
      </c>
      <c r="W22" s="4">
        <f>MAX(R20:T22)</f>
        <v>38.5</v>
      </c>
    </row>
    <row r="23" spans="1:23" x14ac:dyDescent="0.2">
      <c r="F23" s="2" t="s">
        <v>12</v>
      </c>
      <c r="G23" s="4">
        <f>G22-G21</f>
        <v>4</v>
      </c>
      <c r="N23" s="2" t="s">
        <v>12</v>
      </c>
      <c r="O23" s="4">
        <f>O22-O21</f>
        <v>70</v>
      </c>
      <c r="V23" s="2" t="s">
        <v>12</v>
      </c>
      <c r="W23" s="4">
        <f>W22-W21</f>
        <v>5.1000000000000014</v>
      </c>
    </row>
    <row r="24" spans="1:23" x14ac:dyDescent="0.2">
      <c r="A24" s="5" t="s">
        <v>13</v>
      </c>
      <c r="F24" s="12" t="s">
        <v>67</v>
      </c>
      <c r="G24" s="13">
        <f>_xlfn.STDEV.S(B20:D22)</f>
        <v>1.4754472015102544</v>
      </c>
      <c r="N24" s="12" t="s">
        <v>66</v>
      </c>
      <c r="O24" s="13">
        <f>((MAX(J20:L22)-MIN(J20:L22))/(MAX(J20:L22)+MIN(J20:L22)))*100</f>
        <v>11.475409836065573</v>
      </c>
      <c r="V24" s="12" t="s">
        <v>67</v>
      </c>
      <c r="W24" s="13">
        <f>_xlfn.STDEV.S(R20:T22)</f>
        <v>1.8193405398660258</v>
      </c>
    </row>
    <row r="25" spans="1:23" x14ac:dyDescent="0.2">
      <c r="A25" s="6" t="s">
        <v>14</v>
      </c>
      <c r="C25" s="34" t="s">
        <v>78</v>
      </c>
      <c r="D25" s="35"/>
      <c r="E25" s="35"/>
      <c r="F25" s="35"/>
      <c r="G25" s="35"/>
    </row>
    <row r="26" spans="1:23" x14ac:dyDescent="0.2">
      <c r="A26" s="6" t="s">
        <v>16</v>
      </c>
      <c r="C26" s="34" t="s">
        <v>56</v>
      </c>
      <c r="D26" s="35"/>
      <c r="E26" s="35"/>
      <c r="F26" s="35"/>
      <c r="G26" s="35"/>
    </row>
    <row r="27" spans="1:23" x14ac:dyDescent="0.2">
      <c r="A27" s="6" t="s">
        <v>18</v>
      </c>
      <c r="C27" s="34" t="s">
        <v>53</v>
      </c>
      <c r="D27" s="35"/>
      <c r="E27" s="35"/>
      <c r="F27" s="35"/>
      <c r="G27" s="35"/>
    </row>
    <row r="28" spans="1:23" x14ac:dyDescent="0.2">
      <c r="A28" s="6" t="s">
        <v>19</v>
      </c>
      <c r="C28" s="34" t="s">
        <v>75</v>
      </c>
      <c r="D28" s="35"/>
      <c r="E28" s="35"/>
      <c r="F28" s="35"/>
      <c r="G28" s="35"/>
    </row>
    <row r="36" spans="1:23" x14ac:dyDescent="0.2">
      <c r="A36" s="36" t="s">
        <v>20</v>
      </c>
      <c r="B36" s="37"/>
      <c r="C36" s="37"/>
      <c r="D36" s="37"/>
      <c r="I36" s="36" t="s">
        <v>21</v>
      </c>
      <c r="J36" s="37"/>
      <c r="K36" s="37"/>
      <c r="L36" s="37"/>
      <c r="Q36" s="36" t="s">
        <v>57</v>
      </c>
      <c r="R36" s="37"/>
      <c r="S36" s="37"/>
      <c r="T36" s="37"/>
    </row>
    <row r="37" spans="1:23" x14ac:dyDescent="0.2">
      <c r="A37" s="1" t="s">
        <v>1</v>
      </c>
      <c r="B37" s="1" t="s">
        <v>2</v>
      </c>
      <c r="C37" s="1" t="s">
        <v>3</v>
      </c>
      <c r="D37" s="1" t="s">
        <v>4</v>
      </c>
      <c r="F37" s="38" t="s">
        <v>5</v>
      </c>
      <c r="G37" s="37"/>
      <c r="I37" s="1" t="s">
        <v>1</v>
      </c>
      <c r="J37" s="1" t="s">
        <v>2</v>
      </c>
      <c r="K37" s="1" t="s">
        <v>3</v>
      </c>
      <c r="L37" s="1" t="s">
        <v>4</v>
      </c>
      <c r="N37" s="38" t="s">
        <v>5</v>
      </c>
      <c r="O37" s="37"/>
      <c r="Q37" s="1" t="s">
        <v>1</v>
      </c>
      <c r="R37" s="1" t="s">
        <v>2</v>
      </c>
      <c r="S37" s="1" t="s">
        <v>3</v>
      </c>
      <c r="T37" s="1" t="s">
        <v>4</v>
      </c>
      <c r="V37" s="38" t="s">
        <v>5</v>
      </c>
      <c r="W37" s="37"/>
    </row>
    <row r="38" spans="1:23" x14ac:dyDescent="0.2">
      <c r="A38" s="2" t="s">
        <v>6</v>
      </c>
      <c r="B38" s="3">
        <v>31.3</v>
      </c>
      <c r="C38" s="3">
        <v>31</v>
      </c>
      <c r="D38" s="3">
        <v>33.1</v>
      </c>
      <c r="F38" s="2" t="s">
        <v>7</v>
      </c>
      <c r="G38" s="4">
        <f>AVERAGE(B38:D40)</f>
        <v>34.522222222222219</v>
      </c>
      <c r="I38" s="2" t="s">
        <v>6</v>
      </c>
      <c r="J38" s="3">
        <v>460</v>
      </c>
      <c r="K38" s="3">
        <v>496</v>
      </c>
      <c r="L38" s="3">
        <v>407</v>
      </c>
      <c r="N38" s="2" t="s">
        <v>7</v>
      </c>
      <c r="O38" s="4">
        <f>AVERAGE(J38:L40)</f>
        <v>445.55555555555554</v>
      </c>
      <c r="Q38" s="2" t="s">
        <v>6</v>
      </c>
      <c r="R38" s="3">
        <v>36.200000000000003</v>
      </c>
      <c r="S38" s="3">
        <v>35</v>
      </c>
      <c r="T38" s="3">
        <v>37.200000000000003</v>
      </c>
      <c r="V38" s="2" t="s">
        <v>7</v>
      </c>
      <c r="W38" s="4">
        <f>AVERAGE(R38:T40)</f>
        <v>37.433333333333337</v>
      </c>
    </row>
    <row r="39" spans="1:23" x14ac:dyDescent="0.2">
      <c r="A39" s="2" t="s">
        <v>8</v>
      </c>
      <c r="B39" s="3">
        <v>33.4</v>
      </c>
      <c r="C39" s="3">
        <v>35.200000000000003</v>
      </c>
      <c r="D39" s="3">
        <v>35.700000000000003</v>
      </c>
      <c r="F39" s="2" t="s">
        <v>9</v>
      </c>
      <c r="G39" s="4">
        <f>MIN(B38:D40)</f>
        <v>31</v>
      </c>
      <c r="I39" s="2" t="s">
        <v>8</v>
      </c>
      <c r="J39" s="3">
        <v>482</v>
      </c>
      <c r="K39" s="3">
        <v>490</v>
      </c>
      <c r="L39" s="3">
        <v>415</v>
      </c>
      <c r="N39" s="2" t="s">
        <v>9</v>
      </c>
      <c r="O39" s="4">
        <f>MIN(J38:L40)</f>
        <v>407</v>
      </c>
      <c r="Q39" s="2" t="s">
        <v>8</v>
      </c>
      <c r="R39" s="3">
        <v>36.700000000000003</v>
      </c>
      <c r="S39" s="3">
        <v>37.5</v>
      </c>
      <c r="T39" s="3">
        <v>37.9</v>
      </c>
      <c r="V39" s="2" t="s">
        <v>9</v>
      </c>
      <c r="W39" s="4">
        <f>MIN(R38:T40)</f>
        <v>35</v>
      </c>
    </row>
    <row r="40" spans="1:23" x14ac:dyDescent="0.2">
      <c r="A40" s="2" t="s">
        <v>10</v>
      </c>
      <c r="B40" s="3">
        <v>36.5</v>
      </c>
      <c r="C40" s="3">
        <v>36.9</v>
      </c>
      <c r="D40" s="3">
        <v>37.6</v>
      </c>
      <c r="F40" s="2" t="s">
        <v>11</v>
      </c>
      <c r="G40" s="4">
        <f>MAX(B38:D40)</f>
        <v>37.6</v>
      </c>
      <c r="I40" s="2" t="s">
        <v>10</v>
      </c>
      <c r="J40" s="3">
        <v>412</v>
      </c>
      <c r="K40" s="3">
        <v>440</v>
      </c>
      <c r="L40" s="3">
        <v>408</v>
      </c>
      <c r="N40" s="2" t="s">
        <v>11</v>
      </c>
      <c r="O40" s="4">
        <f>MAX(J38:L40)</f>
        <v>496</v>
      </c>
      <c r="Q40" s="2" t="s">
        <v>10</v>
      </c>
      <c r="R40" s="3">
        <v>38.4</v>
      </c>
      <c r="S40" s="3">
        <v>39.5</v>
      </c>
      <c r="T40" s="3">
        <v>38.5</v>
      </c>
      <c r="V40" s="2" t="s">
        <v>11</v>
      </c>
      <c r="W40" s="4">
        <f>MAX(R38:T40)</f>
        <v>39.5</v>
      </c>
    </row>
    <row r="41" spans="1:23" x14ac:dyDescent="0.2">
      <c r="F41" s="2" t="s">
        <v>12</v>
      </c>
      <c r="G41" s="4">
        <f>G40-G39</f>
        <v>6.6000000000000014</v>
      </c>
      <c r="N41" s="2" t="s">
        <v>12</v>
      </c>
      <c r="O41" s="4">
        <f>O40-O39</f>
        <v>89</v>
      </c>
      <c r="V41" s="2" t="s">
        <v>12</v>
      </c>
      <c r="W41" s="4">
        <f>W40-W39</f>
        <v>4.5</v>
      </c>
    </row>
    <row r="42" spans="1:23" x14ac:dyDescent="0.2">
      <c r="A42" s="5" t="s">
        <v>13</v>
      </c>
      <c r="F42" s="12" t="s">
        <v>67</v>
      </c>
      <c r="G42" s="13">
        <f>_xlfn.STDEV.S(B38:D40)</f>
        <v>2.4226936340454701</v>
      </c>
      <c r="N42" s="12" t="s">
        <v>66</v>
      </c>
      <c r="O42" s="13">
        <f>((MAX(J38:L40)-MIN(J38:L40))/(MAX(J38:L40)+MIN(J38:L40)))*100</f>
        <v>9.856035437430787</v>
      </c>
      <c r="V42" s="12" t="s">
        <v>67</v>
      </c>
      <c r="W42" s="13">
        <f>_xlfn.STDEV.S(R38:T40)</f>
        <v>1.3509256086106287</v>
      </c>
    </row>
    <row r="43" spans="1:23" x14ac:dyDescent="0.2">
      <c r="A43" s="6" t="s">
        <v>14</v>
      </c>
      <c r="C43" s="34" t="s">
        <v>79</v>
      </c>
      <c r="D43" s="35"/>
      <c r="E43" s="35"/>
      <c r="F43" s="35"/>
      <c r="G43" s="35"/>
    </row>
    <row r="44" spans="1:23" x14ac:dyDescent="0.2">
      <c r="A44" s="6" t="s">
        <v>16</v>
      </c>
      <c r="C44" s="34" t="s">
        <v>56</v>
      </c>
      <c r="D44" s="35"/>
      <c r="E44" s="35"/>
      <c r="F44" s="35"/>
      <c r="G44" s="35"/>
    </row>
    <row r="45" spans="1:23" x14ac:dyDescent="0.2">
      <c r="A45" s="6" t="s">
        <v>18</v>
      </c>
      <c r="C45" s="34" t="s">
        <v>53</v>
      </c>
      <c r="D45" s="35"/>
      <c r="E45" s="35"/>
      <c r="F45" s="35"/>
      <c r="G45" s="35"/>
    </row>
    <row r="46" spans="1:23" x14ac:dyDescent="0.2">
      <c r="A46" s="6" t="s">
        <v>19</v>
      </c>
      <c r="C46" s="34" t="s">
        <v>76</v>
      </c>
      <c r="D46" s="35"/>
      <c r="E46" s="35"/>
      <c r="F46" s="35"/>
      <c r="G46" s="35"/>
    </row>
    <row r="51" spans="1:23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">
      <c r="A52" s="43" t="s">
        <v>20</v>
      </c>
      <c r="B52" s="43"/>
      <c r="C52" s="43"/>
      <c r="D52" s="43"/>
      <c r="E52" s="14"/>
      <c r="F52" s="14"/>
      <c r="G52" s="14"/>
      <c r="H52" s="14"/>
      <c r="I52" s="43" t="s">
        <v>21</v>
      </c>
      <c r="J52" s="43"/>
      <c r="K52" s="43"/>
      <c r="L52" s="43"/>
      <c r="M52" s="14"/>
      <c r="N52" s="14"/>
      <c r="O52" s="14"/>
      <c r="P52" s="14"/>
      <c r="Q52" s="43" t="s">
        <v>57</v>
      </c>
      <c r="R52" s="43"/>
      <c r="S52" s="43"/>
      <c r="T52" s="43"/>
      <c r="U52" s="14"/>
      <c r="V52" s="14"/>
      <c r="W52" s="14"/>
    </row>
    <row r="53" spans="1:23" x14ac:dyDescent="0.2">
      <c r="A53" s="15" t="s">
        <v>1</v>
      </c>
      <c r="B53" s="16" t="s">
        <v>2</v>
      </c>
      <c r="C53" s="16" t="s">
        <v>3</v>
      </c>
      <c r="D53" s="16" t="s">
        <v>4</v>
      </c>
      <c r="E53" s="14"/>
      <c r="F53" s="47" t="s">
        <v>5</v>
      </c>
      <c r="G53" s="48"/>
      <c r="H53" s="14"/>
      <c r="I53" s="15" t="s">
        <v>1</v>
      </c>
      <c r="J53" s="16" t="s">
        <v>2</v>
      </c>
      <c r="K53" s="16" t="s">
        <v>3</v>
      </c>
      <c r="L53" s="16" t="s">
        <v>4</v>
      </c>
      <c r="M53" s="14"/>
      <c r="N53" s="47" t="s">
        <v>5</v>
      </c>
      <c r="O53" s="48"/>
      <c r="P53" s="14"/>
      <c r="Q53" s="15" t="s">
        <v>1</v>
      </c>
      <c r="R53" s="16" t="s">
        <v>2</v>
      </c>
      <c r="S53" s="16" t="s">
        <v>3</v>
      </c>
      <c r="T53" s="16" t="s">
        <v>4</v>
      </c>
      <c r="U53" s="14"/>
      <c r="V53" s="47" t="s">
        <v>5</v>
      </c>
      <c r="W53" s="48"/>
    </row>
    <row r="54" spans="1:23" x14ac:dyDescent="0.2">
      <c r="A54" s="17" t="s">
        <v>6</v>
      </c>
      <c r="B54" s="18"/>
      <c r="C54" s="18"/>
      <c r="D54" s="18"/>
      <c r="E54" s="14"/>
      <c r="F54" s="17" t="s">
        <v>7</v>
      </c>
      <c r="G54" s="19" t="e">
        <v>#DIV/0!</v>
      </c>
      <c r="H54" s="14"/>
      <c r="I54" s="17" t="s">
        <v>6</v>
      </c>
      <c r="J54" s="18"/>
      <c r="K54" s="18"/>
      <c r="L54" s="18"/>
      <c r="M54" s="14"/>
      <c r="N54" s="17" t="s">
        <v>7</v>
      </c>
      <c r="O54" s="19" t="e">
        <v>#DIV/0!</v>
      </c>
      <c r="P54" s="14"/>
      <c r="Q54" s="17" t="s">
        <v>6</v>
      </c>
      <c r="R54" s="18"/>
      <c r="S54" s="18"/>
      <c r="T54" s="18"/>
      <c r="U54" s="14"/>
      <c r="V54" s="17" t="s">
        <v>7</v>
      </c>
      <c r="W54" s="19" t="e">
        <v>#DIV/0!</v>
      </c>
    </row>
    <row r="55" spans="1:23" x14ac:dyDescent="0.2">
      <c r="A55" s="20" t="s">
        <v>8</v>
      </c>
      <c r="B55" s="21"/>
      <c r="C55" s="21"/>
      <c r="D55" s="21"/>
      <c r="E55" s="14"/>
      <c r="F55" s="20" t="s">
        <v>9</v>
      </c>
      <c r="G55" s="22">
        <v>0</v>
      </c>
      <c r="H55" s="14"/>
      <c r="I55" s="20" t="s">
        <v>8</v>
      </c>
      <c r="J55" s="21"/>
      <c r="K55" s="21"/>
      <c r="L55" s="21"/>
      <c r="M55" s="14"/>
      <c r="N55" s="20" t="s">
        <v>9</v>
      </c>
      <c r="O55" s="22">
        <v>0</v>
      </c>
      <c r="P55" s="14"/>
      <c r="Q55" s="20" t="s">
        <v>8</v>
      </c>
      <c r="R55" s="21"/>
      <c r="S55" s="21"/>
      <c r="T55" s="21"/>
      <c r="U55" s="14"/>
      <c r="V55" s="20" t="s">
        <v>9</v>
      </c>
      <c r="W55" s="22">
        <v>0</v>
      </c>
    </row>
    <row r="56" spans="1:23" x14ac:dyDescent="0.2">
      <c r="A56" s="20" t="s">
        <v>10</v>
      </c>
      <c r="B56" s="21"/>
      <c r="C56" s="21"/>
      <c r="D56" s="21"/>
      <c r="E56" s="14"/>
      <c r="F56" s="20" t="s">
        <v>11</v>
      </c>
      <c r="G56" s="22">
        <v>0</v>
      </c>
      <c r="H56" s="14"/>
      <c r="I56" s="20" t="s">
        <v>10</v>
      </c>
      <c r="J56" s="21"/>
      <c r="K56" s="21"/>
      <c r="L56" s="21"/>
      <c r="M56" s="14"/>
      <c r="N56" s="20" t="s">
        <v>11</v>
      </c>
      <c r="O56" s="22">
        <v>0</v>
      </c>
      <c r="P56" s="14"/>
      <c r="Q56" s="20" t="s">
        <v>10</v>
      </c>
      <c r="R56" s="21"/>
      <c r="S56" s="21"/>
      <c r="T56" s="21"/>
      <c r="U56" s="14"/>
      <c r="V56" s="20" t="s">
        <v>11</v>
      </c>
      <c r="W56" s="22">
        <v>0</v>
      </c>
    </row>
    <row r="57" spans="1:23" x14ac:dyDescent="0.2">
      <c r="A57" s="14"/>
      <c r="B57" s="14"/>
      <c r="C57" s="14"/>
      <c r="D57" s="14"/>
      <c r="E57" s="14"/>
      <c r="F57" s="20" t="s">
        <v>12</v>
      </c>
      <c r="G57" s="22">
        <v>0</v>
      </c>
      <c r="H57" s="14"/>
      <c r="I57" s="14"/>
      <c r="J57" s="14"/>
      <c r="K57" s="14"/>
      <c r="L57" s="14"/>
      <c r="M57" s="14"/>
      <c r="N57" s="20" t="s">
        <v>12</v>
      </c>
      <c r="O57" s="22">
        <v>0</v>
      </c>
      <c r="P57" s="14"/>
      <c r="Q57" s="14"/>
      <c r="R57" s="14"/>
      <c r="S57" s="14"/>
      <c r="T57" s="14"/>
      <c r="U57" s="14"/>
      <c r="V57" s="20" t="s">
        <v>12</v>
      </c>
      <c r="W57" s="22">
        <v>0</v>
      </c>
    </row>
    <row r="58" spans="1:23" x14ac:dyDescent="0.2">
      <c r="A58" s="23" t="s">
        <v>13</v>
      </c>
      <c r="B58" s="23"/>
      <c r="C58" s="23"/>
      <c r="D58" s="14"/>
      <c r="E58" s="14"/>
      <c r="F58" s="24" t="s">
        <v>67</v>
      </c>
      <c r="G58" s="25" t="e">
        <v>#DIV/0!</v>
      </c>
      <c r="H58" s="14"/>
      <c r="I58" s="14"/>
      <c r="J58" s="14"/>
      <c r="K58" s="14"/>
      <c r="L58" s="14"/>
      <c r="M58" s="14"/>
      <c r="N58" s="24" t="s">
        <v>66</v>
      </c>
      <c r="O58" s="25" t="e">
        <v>#DIV/0!</v>
      </c>
      <c r="P58" s="14"/>
      <c r="Q58" s="14"/>
      <c r="R58" s="14"/>
      <c r="S58" s="14"/>
      <c r="T58" s="14"/>
      <c r="U58" s="14"/>
      <c r="V58" s="24" t="s">
        <v>67</v>
      </c>
      <c r="W58" s="25" t="e">
        <v>#DIV/0!</v>
      </c>
    </row>
    <row r="59" spans="1:23" x14ac:dyDescent="0.2">
      <c r="A59" s="26" t="s">
        <v>14</v>
      </c>
      <c r="B59" s="26"/>
      <c r="C59" s="44" t="s">
        <v>80</v>
      </c>
      <c r="D59" s="45"/>
      <c r="E59" s="45"/>
      <c r="F59" s="45"/>
      <c r="G59" s="46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x14ac:dyDescent="0.2">
      <c r="A60" s="26" t="s">
        <v>16</v>
      </c>
      <c r="B60" s="14"/>
      <c r="C60" s="44" t="s">
        <v>56</v>
      </c>
      <c r="D60" s="45"/>
      <c r="E60" s="45"/>
      <c r="F60" s="45"/>
      <c r="G60" s="46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x14ac:dyDescent="0.2">
      <c r="A61" s="26" t="s">
        <v>18</v>
      </c>
      <c r="B61" s="26"/>
      <c r="C61" s="44" t="s">
        <v>53</v>
      </c>
      <c r="D61" s="45"/>
      <c r="E61" s="45"/>
      <c r="F61" s="45"/>
      <c r="G61" s="4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x14ac:dyDescent="0.2">
      <c r="A62" s="26" t="s">
        <v>19</v>
      </c>
      <c r="B62" s="26"/>
      <c r="C62" s="44" t="s">
        <v>81</v>
      </c>
      <c r="D62" s="45"/>
      <c r="E62" s="45"/>
      <c r="F62" s="45"/>
      <c r="G62" s="46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</sheetData>
  <mergeCells count="41">
    <mergeCell ref="C62:G62"/>
    <mergeCell ref="F53:G53"/>
    <mergeCell ref="N53:O53"/>
    <mergeCell ref="V53:W53"/>
    <mergeCell ref="C59:G59"/>
    <mergeCell ref="C60:G60"/>
    <mergeCell ref="C61:G61"/>
    <mergeCell ref="V37:W37"/>
    <mergeCell ref="C43:G43"/>
    <mergeCell ref="C44:G44"/>
    <mergeCell ref="C45:G45"/>
    <mergeCell ref="C46:G46"/>
    <mergeCell ref="A52:D52"/>
    <mergeCell ref="I52:L52"/>
    <mergeCell ref="Q52:T52"/>
    <mergeCell ref="C28:G28"/>
    <mergeCell ref="A36:D36"/>
    <mergeCell ref="I36:L36"/>
    <mergeCell ref="Q36:T36"/>
    <mergeCell ref="F37:G37"/>
    <mergeCell ref="N37:O37"/>
    <mergeCell ref="C27:G27"/>
    <mergeCell ref="V4:W4"/>
    <mergeCell ref="C10:G10"/>
    <mergeCell ref="C11:G11"/>
    <mergeCell ref="C12:G12"/>
    <mergeCell ref="C13:G13"/>
    <mergeCell ref="A18:D18"/>
    <mergeCell ref="I18:L18"/>
    <mergeCell ref="Q18:T18"/>
    <mergeCell ref="F19:G19"/>
    <mergeCell ref="N19:O19"/>
    <mergeCell ref="V19:W19"/>
    <mergeCell ref="C25:G25"/>
    <mergeCell ref="C26:G26"/>
    <mergeCell ref="A1:M1"/>
    <mergeCell ref="A3:D3"/>
    <mergeCell ref="I3:L3"/>
    <mergeCell ref="Q3:T3"/>
    <mergeCell ref="F4:G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F7A4-9B10-F14C-ABEE-761B627A9BC7}">
  <dimension ref="A1:T31"/>
  <sheetViews>
    <sheetView topLeftCell="B1" workbookViewId="0">
      <selection activeCell="M30" sqref="M30"/>
    </sheetView>
  </sheetViews>
  <sheetFormatPr baseColWidth="10" defaultRowHeight="15" x14ac:dyDescent="0.2"/>
  <sheetData>
    <row r="1" spans="1:20" ht="21" x14ac:dyDescent="0.2">
      <c r="A1" s="39" t="s">
        <v>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1:20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x14ac:dyDescent="0.2">
      <c r="A4" s="43" t="s">
        <v>20</v>
      </c>
      <c r="B4" s="43"/>
      <c r="C4" s="43"/>
      <c r="D4" s="43"/>
      <c r="E4" s="14"/>
      <c r="F4" s="14"/>
      <c r="G4" s="14"/>
      <c r="H4" s="14"/>
      <c r="I4" s="43" t="s">
        <v>21</v>
      </c>
      <c r="J4" s="43"/>
      <c r="K4" s="43"/>
      <c r="L4" s="43"/>
      <c r="M4" s="14"/>
      <c r="N4" s="14"/>
      <c r="O4" s="14"/>
      <c r="P4" s="14"/>
      <c r="Q4" s="43" t="s">
        <v>57</v>
      </c>
      <c r="R4" s="43"/>
      <c r="S4" s="43"/>
      <c r="T4" s="43"/>
    </row>
    <row r="5" spans="1:20" x14ac:dyDescent="0.2">
      <c r="A5" s="15" t="s">
        <v>1</v>
      </c>
      <c r="B5" s="16" t="s">
        <v>2</v>
      </c>
      <c r="C5" s="16" t="s">
        <v>3</v>
      </c>
      <c r="D5" s="16" t="s">
        <v>4</v>
      </c>
      <c r="E5" s="14"/>
      <c r="F5" s="47" t="s">
        <v>5</v>
      </c>
      <c r="G5" s="48"/>
      <c r="H5" s="14"/>
      <c r="I5" s="15" t="s">
        <v>1</v>
      </c>
      <c r="J5" s="16" t="s">
        <v>2</v>
      </c>
      <c r="K5" s="16" t="s">
        <v>3</v>
      </c>
      <c r="L5" s="16" t="s">
        <v>4</v>
      </c>
      <c r="M5" s="14"/>
      <c r="N5" s="47" t="s">
        <v>5</v>
      </c>
      <c r="O5" s="48"/>
      <c r="P5" s="14"/>
      <c r="Q5" s="15" t="s">
        <v>1</v>
      </c>
      <c r="R5" s="16" t="s">
        <v>2</v>
      </c>
      <c r="S5" s="16" t="s">
        <v>3</v>
      </c>
      <c r="T5" s="16" t="s">
        <v>4</v>
      </c>
    </row>
    <row r="6" spans="1:20" x14ac:dyDescent="0.2">
      <c r="A6" s="17" t="s">
        <v>6</v>
      </c>
      <c r="B6" s="18">
        <v>21.3</v>
      </c>
      <c r="C6" s="18">
        <v>22.4</v>
      </c>
      <c r="D6" s="18">
        <v>21.1</v>
      </c>
      <c r="E6" s="14"/>
      <c r="F6" s="17" t="s">
        <v>7</v>
      </c>
      <c r="G6" s="19">
        <f>AVERAGE(B6:D8)</f>
        <v>22.099999999999998</v>
      </c>
      <c r="H6" s="14"/>
      <c r="I6" s="17" t="s">
        <v>6</v>
      </c>
      <c r="J6" s="18">
        <v>252.5</v>
      </c>
      <c r="K6" s="18">
        <v>211.8</v>
      </c>
      <c r="L6" s="18">
        <v>205.5</v>
      </c>
      <c r="M6" s="14"/>
      <c r="N6" s="17" t="s">
        <v>7</v>
      </c>
      <c r="O6" s="19">
        <f>AVERAGE(J6:L8)</f>
        <v>218.51111111111109</v>
      </c>
      <c r="P6" s="14"/>
      <c r="Q6" s="17" t="s">
        <v>6</v>
      </c>
      <c r="R6" s="18"/>
      <c r="S6" s="18"/>
      <c r="T6" s="18"/>
    </row>
    <row r="7" spans="1:20" x14ac:dyDescent="0.2">
      <c r="A7" s="20" t="s">
        <v>8</v>
      </c>
      <c r="B7" s="21">
        <v>21.8</v>
      </c>
      <c r="C7" s="21">
        <v>25.3</v>
      </c>
      <c r="D7" s="21">
        <v>21.2</v>
      </c>
      <c r="E7" s="14"/>
      <c r="F7" s="20" t="s">
        <v>9</v>
      </c>
      <c r="G7" s="22">
        <f>MIN(B6:D8)</f>
        <v>20.7</v>
      </c>
      <c r="H7" s="14"/>
      <c r="I7" s="20" t="s">
        <v>8</v>
      </c>
      <c r="J7" s="21">
        <v>240.7</v>
      </c>
      <c r="K7" s="21">
        <v>215.5</v>
      </c>
      <c r="L7" s="21">
        <v>196.6</v>
      </c>
      <c r="M7" s="14"/>
      <c r="N7" s="20" t="s">
        <v>9</v>
      </c>
      <c r="O7" s="22">
        <f>MIN(J6:L80)</f>
        <v>171.5</v>
      </c>
      <c r="P7" s="14"/>
      <c r="Q7" s="20" t="s">
        <v>8</v>
      </c>
      <c r="R7" s="21"/>
      <c r="S7" s="21"/>
      <c r="T7" s="21"/>
    </row>
    <row r="8" spans="1:20" x14ac:dyDescent="0.2">
      <c r="A8" s="20" t="s">
        <v>10</v>
      </c>
      <c r="B8" s="21">
        <v>20.7</v>
      </c>
      <c r="C8" s="21">
        <v>23.5</v>
      </c>
      <c r="D8" s="21">
        <v>21.6</v>
      </c>
      <c r="E8" s="14"/>
      <c r="F8" s="20" t="s">
        <v>11</v>
      </c>
      <c r="G8" s="22">
        <f>MAX(B6:D8)</f>
        <v>25.3</v>
      </c>
      <c r="H8" s="14"/>
      <c r="I8" s="20" t="s">
        <v>10</v>
      </c>
      <c r="J8" s="21">
        <v>225</v>
      </c>
      <c r="K8" s="21">
        <v>227</v>
      </c>
      <c r="L8" s="21">
        <v>192</v>
      </c>
      <c r="M8" s="14"/>
      <c r="N8" s="20" t="s">
        <v>11</v>
      </c>
      <c r="O8" s="22">
        <f>MAX(J6:L8)</f>
        <v>252.5</v>
      </c>
      <c r="P8" s="14"/>
      <c r="Q8" s="20" t="s">
        <v>10</v>
      </c>
      <c r="R8" s="21"/>
      <c r="S8" s="21"/>
      <c r="T8" s="21"/>
    </row>
    <row r="9" spans="1:20" x14ac:dyDescent="0.2">
      <c r="A9" s="14"/>
      <c r="B9" s="14"/>
      <c r="C9" s="14"/>
      <c r="D9" s="14"/>
      <c r="E9" s="14"/>
      <c r="F9" s="20" t="s">
        <v>12</v>
      </c>
      <c r="G9" s="22">
        <v>0</v>
      </c>
      <c r="H9" s="14"/>
      <c r="I9" s="14"/>
      <c r="J9" s="14"/>
      <c r="K9" s="14"/>
      <c r="L9" s="14"/>
      <c r="M9" s="14"/>
      <c r="N9" s="20" t="s">
        <v>12</v>
      </c>
      <c r="O9" s="22">
        <v>0</v>
      </c>
      <c r="P9" s="14"/>
      <c r="Q9" s="14"/>
      <c r="R9" s="14"/>
      <c r="S9" s="14"/>
      <c r="T9" s="14"/>
    </row>
    <row r="10" spans="1:20" x14ac:dyDescent="0.2">
      <c r="A10" s="23" t="s">
        <v>13</v>
      </c>
      <c r="B10" s="23"/>
      <c r="C10" s="23"/>
      <c r="D10" s="14"/>
      <c r="E10" s="14"/>
      <c r="F10" s="24" t="s">
        <v>67</v>
      </c>
      <c r="G10" s="25" t="e">
        <v>#DIV/0!</v>
      </c>
      <c r="H10" s="14"/>
      <c r="I10" s="14"/>
      <c r="J10" s="14"/>
      <c r="K10" s="14"/>
      <c r="L10" s="14"/>
      <c r="M10" s="14"/>
      <c r="N10" s="24" t="s">
        <v>66</v>
      </c>
      <c r="O10" s="25" t="e">
        <v>#DIV/0!</v>
      </c>
      <c r="P10" s="14"/>
      <c r="Q10" s="14"/>
      <c r="R10" s="14"/>
      <c r="S10" s="14"/>
      <c r="T10" s="14"/>
    </row>
    <row r="11" spans="1:20" x14ac:dyDescent="0.2">
      <c r="A11" s="26" t="s">
        <v>14</v>
      </c>
      <c r="B11" s="26"/>
      <c r="C11" s="44" t="s">
        <v>82</v>
      </c>
      <c r="D11" s="45"/>
      <c r="E11" s="45"/>
      <c r="F11" s="45"/>
      <c r="G11" s="4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x14ac:dyDescent="0.2">
      <c r="A12" s="26" t="s">
        <v>16</v>
      </c>
      <c r="B12" s="14"/>
      <c r="C12" s="44"/>
      <c r="D12" s="45"/>
      <c r="E12" s="45"/>
      <c r="F12" s="45"/>
      <c r="G12" s="4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">
      <c r="A13" s="26" t="s">
        <v>18</v>
      </c>
      <c r="B13" s="26"/>
      <c r="C13" s="44" t="s">
        <v>53</v>
      </c>
      <c r="D13" s="45"/>
      <c r="E13" s="45"/>
      <c r="F13" s="45"/>
      <c r="G13" s="46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">
      <c r="A14" s="26" t="s">
        <v>19</v>
      </c>
      <c r="B14" s="26"/>
      <c r="C14" s="44"/>
      <c r="D14" s="45"/>
      <c r="E14" s="45"/>
      <c r="F14" s="45"/>
      <c r="G14" s="4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9" spans="1:20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">
      <c r="A20" s="43" t="s">
        <v>20</v>
      </c>
      <c r="B20" s="43"/>
      <c r="C20" s="43"/>
      <c r="D20" s="43"/>
      <c r="E20" s="14"/>
      <c r="F20" s="14"/>
      <c r="G20" s="14"/>
      <c r="H20" s="14"/>
      <c r="I20" s="43" t="s">
        <v>21</v>
      </c>
      <c r="J20" s="43"/>
      <c r="K20" s="43"/>
      <c r="L20" s="43"/>
      <c r="M20" s="14"/>
      <c r="N20" s="14"/>
      <c r="O20" s="14"/>
      <c r="P20" s="14"/>
      <c r="Q20" s="43" t="s">
        <v>57</v>
      </c>
      <c r="R20" s="43"/>
      <c r="S20" s="43"/>
      <c r="T20" s="43"/>
    </row>
    <row r="21" spans="1:20" x14ac:dyDescent="0.2">
      <c r="A21" s="15" t="s">
        <v>1</v>
      </c>
      <c r="B21" s="16" t="s">
        <v>2</v>
      </c>
      <c r="C21" s="16" t="s">
        <v>3</v>
      </c>
      <c r="D21" s="16" t="s">
        <v>4</v>
      </c>
      <c r="E21" s="14"/>
      <c r="F21" s="47" t="s">
        <v>5</v>
      </c>
      <c r="G21" s="48"/>
      <c r="H21" s="14"/>
      <c r="I21" s="15" t="s">
        <v>1</v>
      </c>
      <c r="J21" s="16" t="s">
        <v>2</v>
      </c>
      <c r="K21" s="16" t="s">
        <v>3</v>
      </c>
      <c r="L21" s="16" t="s">
        <v>4</v>
      </c>
      <c r="M21" s="14"/>
      <c r="N21" s="47" t="s">
        <v>5</v>
      </c>
      <c r="O21" s="48"/>
      <c r="P21" s="14"/>
      <c r="Q21" s="15" t="s">
        <v>1</v>
      </c>
      <c r="R21" s="16" t="s">
        <v>2</v>
      </c>
      <c r="S21" s="16" t="s">
        <v>3</v>
      </c>
      <c r="T21" s="16" t="s">
        <v>4</v>
      </c>
    </row>
    <row r="22" spans="1:20" x14ac:dyDescent="0.2">
      <c r="A22" s="17" t="s">
        <v>6</v>
      </c>
      <c r="B22" s="18">
        <v>19.100000000000001</v>
      </c>
      <c r="C22" s="18">
        <v>19.5</v>
      </c>
      <c r="D22" s="18">
        <v>20.6</v>
      </c>
      <c r="E22" s="14"/>
      <c r="F22" s="17" t="s">
        <v>7</v>
      </c>
      <c r="G22" s="19">
        <f>AVERAGE(B22:D24)</f>
        <v>19.577777777777779</v>
      </c>
      <c r="H22" s="14"/>
      <c r="I22" s="17" t="s">
        <v>6</v>
      </c>
      <c r="J22" s="18">
        <v>171.5</v>
      </c>
      <c r="K22" s="18">
        <v>192.7</v>
      </c>
      <c r="L22" s="18">
        <v>177.8</v>
      </c>
      <c r="M22" s="14"/>
      <c r="N22" s="17" t="s">
        <v>7</v>
      </c>
      <c r="O22" s="19">
        <f>AVERAGE(J22:L24)</f>
        <v>184.36666666666667</v>
      </c>
      <c r="P22" s="14"/>
      <c r="Q22" s="17" t="s">
        <v>6</v>
      </c>
      <c r="R22" s="18"/>
      <c r="S22" s="18"/>
      <c r="T22" s="18"/>
    </row>
    <row r="23" spans="1:20" x14ac:dyDescent="0.2">
      <c r="A23" s="20" t="s">
        <v>8</v>
      </c>
      <c r="B23" s="21">
        <v>19</v>
      </c>
      <c r="C23" s="21">
        <v>20.2</v>
      </c>
      <c r="D23" s="21">
        <v>20.9</v>
      </c>
      <c r="E23" s="14"/>
      <c r="F23" s="20" t="s">
        <v>9</v>
      </c>
      <c r="G23" s="22">
        <f>MIN(B22:D24)</f>
        <v>18</v>
      </c>
      <c r="H23" s="14"/>
      <c r="I23" s="20" t="s">
        <v>8</v>
      </c>
      <c r="J23" s="21">
        <v>188.7</v>
      </c>
      <c r="K23" s="21">
        <v>201.5</v>
      </c>
      <c r="L23" s="21">
        <v>180.8</v>
      </c>
      <c r="M23" s="14"/>
      <c r="N23" s="20" t="s">
        <v>9</v>
      </c>
      <c r="O23" s="22">
        <f>MIN(J22:L96)</f>
        <v>171.5</v>
      </c>
      <c r="P23" s="14"/>
      <c r="Q23" s="20" t="s">
        <v>8</v>
      </c>
      <c r="R23" s="21"/>
      <c r="S23" s="21"/>
      <c r="T23" s="21"/>
    </row>
    <row r="24" spans="1:20" x14ac:dyDescent="0.2">
      <c r="A24" s="20" t="s">
        <v>10</v>
      </c>
      <c r="B24" s="21">
        <v>18</v>
      </c>
      <c r="C24" s="21">
        <v>20.3</v>
      </c>
      <c r="D24" s="21">
        <v>18.600000000000001</v>
      </c>
      <c r="E24" s="14"/>
      <c r="F24" s="20" t="s">
        <v>11</v>
      </c>
      <c r="G24" s="22">
        <f>MAX(B22:D24)</f>
        <v>20.9</v>
      </c>
      <c r="H24" s="14"/>
      <c r="I24" s="20" t="s">
        <v>10</v>
      </c>
      <c r="J24" s="21">
        <v>182.1</v>
      </c>
      <c r="K24" s="21">
        <v>192.3</v>
      </c>
      <c r="L24" s="21">
        <v>171.9</v>
      </c>
      <c r="M24" s="14"/>
      <c r="N24" s="20" t="s">
        <v>11</v>
      </c>
      <c r="O24" s="22">
        <f>MAX(J22:L24)</f>
        <v>201.5</v>
      </c>
      <c r="P24" s="14"/>
      <c r="Q24" s="20" t="s">
        <v>10</v>
      </c>
      <c r="R24" s="21"/>
      <c r="S24" s="21"/>
      <c r="T24" s="21"/>
    </row>
    <row r="25" spans="1:20" x14ac:dyDescent="0.2">
      <c r="A25" s="14"/>
      <c r="B25" s="14"/>
      <c r="C25" s="14"/>
      <c r="D25" s="14"/>
      <c r="E25" s="14"/>
      <c r="F25" s="20" t="s">
        <v>12</v>
      </c>
      <c r="G25" s="22">
        <v>0</v>
      </c>
      <c r="H25" s="14"/>
      <c r="I25" s="14"/>
      <c r="J25" s="14"/>
      <c r="K25" s="14"/>
      <c r="L25" s="14"/>
      <c r="M25" s="14"/>
      <c r="N25" s="20" t="s">
        <v>12</v>
      </c>
      <c r="O25" s="22">
        <v>0</v>
      </c>
      <c r="P25" s="14"/>
      <c r="Q25" s="14"/>
      <c r="R25" s="14"/>
      <c r="S25" s="14"/>
      <c r="T25" s="14"/>
    </row>
    <row r="26" spans="1:20" x14ac:dyDescent="0.2">
      <c r="A26" s="23" t="s">
        <v>13</v>
      </c>
      <c r="B26" s="23"/>
      <c r="C26" s="23"/>
      <c r="D26" s="14"/>
      <c r="E26" s="14"/>
      <c r="F26" s="24" t="s">
        <v>67</v>
      </c>
      <c r="G26" s="25" t="e">
        <v>#DIV/0!</v>
      </c>
      <c r="H26" s="14"/>
      <c r="I26" s="14"/>
      <c r="J26" s="14"/>
      <c r="K26" s="14"/>
      <c r="L26" s="14"/>
      <c r="M26" s="14"/>
      <c r="N26" s="24" t="s">
        <v>66</v>
      </c>
      <c r="O26" s="25" t="e">
        <v>#DIV/0!</v>
      </c>
      <c r="P26" s="14"/>
      <c r="Q26" s="14"/>
      <c r="R26" s="14"/>
      <c r="S26" s="14"/>
      <c r="T26" s="14"/>
    </row>
    <row r="27" spans="1:20" x14ac:dyDescent="0.2">
      <c r="A27" s="26" t="s">
        <v>14</v>
      </c>
      <c r="B27" s="26"/>
      <c r="C27" s="44" t="s">
        <v>83</v>
      </c>
      <c r="D27" s="45"/>
      <c r="E27" s="45"/>
      <c r="F27" s="45"/>
      <c r="G27" s="46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x14ac:dyDescent="0.2">
      <c r="A28" s="26" t="s">
        <v>16</v>
      </c>
      <c r="B28" s="14"/>
      <c r="C28" s="44"/>
      <c r="D28" s="45"/>
      <c r="E28" s="45"/>
      <c r="F28" s="45"/>
      <c r="G28" s="46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x14ac:dyDescent="0.2">
      <c r="A29" s="26" t="s">
        <v>18</v>
      </c>
      <c r="B29" s="26"/>
      <c r="C29" s="44" t="s">
        <v>53</v>
      </c>
      <c r="D29" s="45"/>
      <c r="E29" s="45"/>
      <c r="F29" s="45"/>
      <c r="G29" s="46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x14ac:dyDescent="0.2">
      <c r="A30" s="26" t="s">
        <v>19</v>
      </c>
      <c r="B30" s="26"/>
      <c r="C30" s="44"/>
      <c r="D30" s="45"/>
      <c r="E30" s="45"/>
      <c r="F30" s="45"/>
      <c r="G30" s="46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</sheetData>
  <mergeCells count="19">
    <mergeCell ref="C30:G30"/>
    <mergeCell ref="F21:G21"/>
    <mergeCell ref="N21:O21"/>
    <mergeCell ref="C27:G27"/>
    <mergeCell ref="C28:G28"/>
    <mergeCell ref="C29:G29"/>
    <mergeCell ref="A1:M1"/>
    <mergeCell ref="I20:L20"/>
    <mergeCell ref="Q20:T20"/>
    <mergeCell ref="A4:D4"/>
    <mergeCell ref="I4:L4"/>
    <mergeCell ref="Q4:T4"/>
    <mergeCell ref="F5:G5"/>
    <mergeCell ref="N5:O5"/>
    <mergeCell ref="C11:G11"/>
    <mergeCell ref="C12:G12"/>
    <mergeCell ref="C13:G13"/>
    <mergeCell ref="C14:G14"/>
    <mergeCell ref="A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D588-AC95-F842-9B63-256BF1ED1DC1}">
  <dimension ref="A1:W64"/>
  <sheetViews>
    <sheetView topLeftCell="A21" workbookViewId="0">
      <selection activeCell="R30" sqref="R30"/>
    </sheetView>
  </sheetViews>
  <sheetFormatPr baseColWidth="10" defaultRowHeight="15" x14ac:dyDescent="0.2"/>
  <sheetData>
    <row r="1" spans="1:23" ht="21" x14ac:dyDescent="0.2">
      <c r="A1" s="39" t="s">
        <v>85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1:23" ht="17" customHeight="1" x14ac:dyDescent="0.2"/>
    <row r="4" spans="1:23" x14ac:dyDescent="0.2">
      <c r="A4" s="27">
        <v>0.65625</v>
      </c>
    </row>
    <row r="5" spans="1:23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  <c r="Q5" s="36" t="s">
        <v>57</v>
      </c>
      <c r="R5" s="37"/>
      <c r="S5" s="37"/>
      <c r="T5" s="37"/>
    </row>
    <row r="6" spans="1:23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  <c r="Q6" s="1" t="s">
        <v>1</v>
      </c>
      <c r="R6" s="1" t="s">
        <v>2</v>
      </c>
      <c r="S6" s="1" t="s">
        <v>3</v>
      </c>
      <c r="T6" s="1" t="s">
        <v>4</v>
      </c>
      <c r="V6" s="38" t="s">
        <v>5</v>
      </c>
      <c r="W6" s="37"/>
    </row>
    <row r="7" spans="1:23" x14ac:dyDescent="0.2">
      <c r="A7" s="2" t="s">
        <v>6</v>
      </c>
      <c r="B7" s="3">
        <v>51.7</v>
      </c>
      <c r="C7" s="3">
        <v>50.8</v>
      </c>
      <c r="D7" s="3">
        <v>53.5</v>
      </c>
      <c r="F7" s="2" t="s">
        <v>7</v>
      </c>
      <c r="G7" s="4">
        <f>AVERAGE(B7:D9)</f>
        <v>51.477777777777774</v>
      </c>
      <c r="I7" s="2" t="s">
        <v>6</v>
      </c>
      <c r="J7" s="3">
        <v>675</v>
      </c>
      <c r="K7" s="3">
        <v>607.20000000000005</v>
      </c>
      <c r="L7" s="3">
        <v>662.5</v>
      </c>
      <c r="N7" s="2" t="s">
        <v>7</v>
      </c>
      <c r="O7" s="4">
        <f>AVERAGE(J7:L9)</f>
        <v>651.12222222222226</v>
      </c>
      <c r="Q7" s="2" t="s">
        <v>6</v>
      </c>
      <c r="R7" s="3"/>
      <c r="S7" s="3"/>
      <c r="T7" s="3"/>
      <c r="V7" s="2" t="s">
        <v>7</v>
      </c>
      <c r="W7" s="4" t="e">
        <f>AVERAGE(R7:T9)</f>
        <v>#DIV/0!</v>
      </c>
    </row>
    <row r="8" spans="1:23" x14ac:dyDescent="0.2">
      <c r="A8" s="2" t="s">
        <v>8</v>
      </c>
      <c r="B8" s="3">
        <v>50.6</v>
      </c>
      <c r="C8" s="3">
        <v>51.8</v>
      </c>
      <c r="D8" s="3">
        <v>52.5</v>
      </c>
      <c r="F8" s="2" t="s">
        <v>9</v>
      </c>
      <c r="G8" s="4">
        <f>MIN(B7:D9)</f>
        <v>50.5</v>
      </c>
      <c r="I8" s="2" t="s">
        <v>8</v>
      </c>
      <c r="J8" s="3">
        <v>683.9</v>
      </c>
      <c r="K8" s="3">
        <v>685</v>
      </c>
      <c r="L8" s="3">
        <v>667.1</v>
      </c>
      <c r="N8" s="2" t="s">
        <v>9</v>
      </c>
      <c r="O8" s="4">
        <f>MIN(J7:L9)</f>
        <v>607.20000000000005</v>
      </c>
      <c r="Q8" s="2" t="s">
        <v>8</v>
      </c>
      <c r="R8" s="3"/>
      <c r="S8" s="3"/>
      <c r="T8" s="3"/>
      <c r="V8" s="2" t="s">
        <v>9</v>
      </c>
      <c r="W8" s="4">
        <f>MIN(R7:T9)</f>
        <v>0</v>
      </c>
    </row>
    <row r="9" spans="1:23" x14ac:dyDescent="0.2">
      <c r="A9" s="2" t="s">
        <v>10</v>
      </c>
      <c r="B9" s="3">
        <v>51</v>
      </c>
      <c r="C9" s="3">
        <v>50.5</v>
      </c>
      <c r="D9" s="3">
        <v>50.9</v>
      </c>
      <c r="F9" s="2" t="s">
        <v>11</v>
      </c>
      <c r="G9" s="4">
        <f>MAX(B7:D9)</f>
        <v>53.5</v>
      </c>
      <c r="I9" s="2" t="s">
        <v>10</v>
      </c>
      <c r="J9" s="3">
        <v>615.79999999999995</v>
      </c>
      <c r="K9" s="3">
        <v>627.5</v>
      </c>
      <c r="L9" s="3">
        <v>636.1</v>
      </c>
      <c r="N9" s="2" t="s">
        <v>11</v>
      </c>
      <c r="O9" s="4">
        <f>MAX(J7:L9)</f>
        <v>685</v>
      </c>
      <c r="Q9" s="2" t="s">
        <v>10</v>
      </c>
      <c r="R9" s="3"/>
      <c r="S9" s="3"/>
      <c r="T9" s="3"/>
      <c r="V9" s="2" t="s">
        <v>11</v>
      </c>
      <c r="W9" s="4">
        <f>MAX(R7:T9)</f>
        <v>0</v>
      </c>
    </row>
    <row r="10" spans="1:23" x14ac:dyDescent="0.2">
      <c r="F10" s="2" t="s">
        <v>12</v>
      </c>
      <c r="G10" s="4">
        <f>G9-G8</f>
        <v>3</v>
      </c>
      <c r="N10" s="2" t="s">
        <v>12</v>
      </c>
      <c r="O10" s="4">
        <f>O9-O8</f>
        <v>77.799999999999955</v>
      </c>
      <c r="V10" s="2" t="s">
        <v>12</v>
      </c>
      <c r="W10" s="4">
        <f>W9-W8</f>
        <v>0</v>
      </c>
    </row>
    <row r="11" spans="1:23" x14ac:dyDescent="0.2">
      <c r="A11" s="5" t="s">
        <v>13</v>
      </c>
      <c r="F11" s="12" t="s">
        <v>67</v>
      </c>
      <c r="G11" s="13">
        <f>_xlfn.STDEV.S(B7:D9)</f>
        <v>1.002219758558194</v>
      </c>
      <c r="N11" s="12" t="s">
        <v>66</v>
      </c>
      <c r="O11" s="13">
        <f>((MAX(J7:L9)-MIN(J7:L9))/(MAX(J7:L9)+MIN(J7:L9)))*100</f>
        <v>6.0207398235567213</v>
      </c>
      <c r="V11" s="12" t="s">
        <v>67</v>
      </c>
      <c r="W11" s="13" t="e">
        <f>_xlfn.STDEV.S(R7:T9)</f>
        <v>#DIV/0!</v>
      </c>
    </row>
    <row r="12" spans="1:23" x14ac:dyDescent="0.2">
      <c r="A12" s="6" t="s">
        <v>14</v>
      </c>
      <c r="C12" s="34" t="s">
        <v>86</v>
      </c>
      <c r="D12" s="35"/>
      <c r="E12" s="35"/>
      <c r="F12" s="35"/>
      <c r="G12" s="35"/>
    </row>
    <row r="13" spans="1:23" x14ac:dyDescent="0.2">
      <c r="A13" s="6" t="s">
        <v>16</v>
      </c>
      <c r="C13" s="34"/>
      <c r="D13" s="35"/>
      <c r="E13" s="35"/>
      <c r="F13" s="35"/>
      <c r="G13" s="35"/>
    </row>
    <row r="14" spans="1:23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23" x14ac:dyDescent="0.2">
      <c r="A15" s="6" t="s">
        <v>19</v>
      </c>
      <c r="C15" s="34" t="s">
        <v>86</v>
      </c>
      <c r="D15" s="35"/>
      <c r="E15" s="35"/>
      <c r="F15" s="35"/>
      <c r="G15" s="35"/>
    </row>
    <row r="17" spans="1:20" x14ac:dyDescent="0.2">
      <c r="A17" s="6" t="s">
        <v>87</v>
      </c>
    </row>
    <row r="18" spans="1:20" x14ac:dyDescent="0.2">
      <c r="A18" s="6" t="s">
        <v>88</v>
      </c>
    </row>
    <row r="22" spans="1:20" x14ac:dyDescent="0.2">
      <c r="A22" s="27">
        <v>0.66666666666666663</v>
      </c>
    </row>
    <row r="23" spans="1:20" x14ac:dyDescent="0.2">
      <c r="A23" s="36" t="s">
        <v>20</v>
      </c>
      <c r="B23" s="37"/>
      <c r="C23" s="37"/>
      <c r="D23" s="37"/>
      <c r="I23" s="36" t="s">
        <v>21</v>
      </c>
      <c r="J23" s="37"/>
      <c r="K23" s="37"/>
      <c r="L23" s="37"/>
      <c r="Q23" s="36" t="s">
        <v>57</v>
      </c>
      <c r="R23" s="37"/>
      <c r="S23" s="37"/>
      <c r="T23" s="37"/>
    </row>
    <row r="24" spans="1:20" x14ac:dyDescent="0.2">
      <c r="A24" s="1" t="s">
        <v>1</v>
      </c>
      <c r="B24" s="1" t="s">
        <v>2</v>
      </c>
      <c r="C24" s="1" t="s">
        <v>3</v>
      </c>
      <c r="D24" s="1" t="s">
        <v>4</v>
      </c>
      <c r="F24" s="38" t="s">
        <v>5</v>
      </c>
      <c r="G24" s="37"/>
      <c r="I24" s="1" t="s">
        <v>1</v>
      </c>
      <c r="J24" s="1" t="s">
        <v>2</v>
      </c>
      <c r="K24" s="1" t="s">
        <v>3</v>
      </c>
      <c r="L24" s="1" t="s">
        <v>4</v>
      </c>
      <c r="N24" s="38" t="s">
        <v>5</v>
      </c>
      <c r="O24" s="37"/>
      <c r="Q24" s="1" t="s">
        <v>1</v>
      </c>
      <c r="R24" s="1" t="s">
        <v>2</v>
      </c>
      <c r="S24" s="1" t="s">
        <v>3</v>
      </c>
      <c r="T24" s="1" t="s">
        <v>4</v>
      </c>
    </row>
    <row r="25" spans="1:20" x14ac:dyDescent="0.2">
      <c r="A25" s="2" t="s">
        <v>6</v>
      </c>
      <c r="B25" s="3">
        <v>47.3</v>
      </c>
      <c r="C25" s="3">
        <v>47.8</v>
      </c>
      <c r="D25" s="3">
        <v>49.6</v>
      </c>
      <c r="F25" s="2" t="s">
        <v>7</v>
      </c>
      <c r="G25" s="4">
        <f>AVERAGE(B25:D27)</f>
        <v>48.833333333333336</v>
      </c>
      <c r="I25" s="2" t="s">
        <v>6</v>
      </c>
      <c r="J25" s="3">
        <v>613.79999999999995</v>
      </c>
      <c r="K25" s="3">
        <v>651.9</v>
      </c>
      <c r="L25" s="3">
        <v>632.79999999999995</v>
      </c>
      <c r="N25" s="2" t="s">
        <v>7</v>
      </c>
      <c r="O25" s="4">
        <f>AVERAGE(J25:L27)</f>
        <v>629.01111111111118</v>
      </c>
      <c r="Q25" s="2" t="s">
        <v>6</v>
      </c>
      <c r="R25" s="3"/>
      <c r="S25" s="3"/>
      <c r="T25" s="3"/>
    </row>
    <row r="26" spans="1:20" x14ac:dyDescent="0.2">
      <c r="A26" s="2" t="s">
        <v>8</v>
      </c>
      <c r="B26" s="3">
        <v>48</v>
      </c>
      <c r="C26" s="3">
        <v>51.4</v>
      </c>
      <c r="D26" s="3">
        <v>51.1</v>
      </c>
      <c r="F26" s="2" t="s">
        <v>9</v>
      </c>
      <c r="G26" s="4">
        <f>MIN(B25:D27)</f>
        <v>47.3</v>
      </c>
      <c r="I26" s="2" t="s">
        <v>8</v>
      </c>
      <c r="J26" s="3">
        <v>662.6</v>
      </c>
      <c r="K26" s="3">
        <v>626.79999999999995</v>
      </c>
      <c r="L26" s="3">
        <v>607.9</v>
      </c>
      <c r="N26" s="2" t="s">
        <v>9</v>
      </c>
      <c r="O26" s="4">
        <f>MIN(J25:L27)</f>
        <v>604.4</v>
      </c>
      <c r="Q26" s="2" t="s">
        <v>8</v>
      </c>
      <c r="R26" s="3"/>
      <c r="S26" s="3"/>
      <c r="T26" s="3"/>
    </row>
    <row r="27" spans="1:20" x14ac:dyDescent="0.2">
      <c r="A27" s="2" t="s">
        <v>10</v>
      </c>
      <c r="B27" s="3">
        <v>47.8</v>
      </c>
      <c r="C27" s="3">
        <v>48.3</v>
      </c>
      <c r="D27" s="3">
        <v>48.2</v>
      </c>
      <c r="F27" s="2" t="s">
        <v>11</v>
      </c>
      <c r="G27" s="4">
        <f>MAX(B25:D27)</f>
        <v>51.4</v>
      </c>
      <c r="I27" s="2" t="s">
        <v>10</v>
      </c>
      <c r="J27" s="3">
        <v>604.4</v>
      </c>
      <c r="K27" s="3">
        <v>630.79999999999995</v>
      </c>
      <c r="L27" s="3">
        <v>630.1</v>
      </c>
      <c r="N27" s="2" t="s">
        <v>11</v>
      </c>
      <c r="O27" s="4">
        <f>MAX(J25:L27)</f>
        <v>662.6</v>
      </c>
      <c r="Q27" s="2" t="s">
        <v>10</v>
      </c>
      <c r="R27" s="3"/>
      <c r="S27" s="3"/>
      <c r="T27" s="3"/>
    </row>
    <row r="28" spans="1:20" x14ac:dyDescent="0.2">
      <c r="F28" s="2" t="s">
        <v>12</v>
      </c>
      <c r="G28" s="4">
        <f>G27-G26</f>
        <v>4.1000000000000014</v>
      </c>
      <c r="N28" s="2" t="s">
        <v>12</v>
      </c>
      <c r="O28" s="4">
        <f>O27-O26</f>
        <v>58.200000000000045</v>
      </c>
    </row>
    <row r="29" spans="1:20" x14ac:dyDescent="0.2">
      <c r="A29" s="5" t="s">
        <v>13</v>
      </c>
      <c r="F29" s="12" t="s">
        <v>67</v>
      </c>
      <c r="G29" s="13">
        <f>_xlfn.STDEV.S(B25:D27)</f>
        <v>1.5074813431681344</v>
      </c>
      <c r="N29" s="12" t="s">
        <v>66</v>
      </c>
      <c r="O29" s="13">
        <f>((MAX(J25:L27)-MIN(J25:L27))/(MAX(J25:L27)+MIN(J25:L27)))*100</f>
        <v>4.5935280189423873</v>
      </c>
    </row>
    <row r="30" spans="1:20" x14ac:dyDescent="0.2">
      <c r="A30" s="6" t="s">
        <v>14</v>
      </c>
      <c r="C30" s="34" t="s">
        <v>86</v>
      </c>
      <c r="D30" s="35"/>
      <c r="E30" s="35"/>
      <c r="F30" s="35"/>
      <c r="G30" s="35"/>
    </row>
    <row r="31" spans="1:20" x14ac:dyDescent="0.2">
      <c r="A31" s="6" t="s">
        <v>16</v>
      </c>
      <c r="C31" s="34"/>
      <c r="D31" s="35"/>
      <c r="E31" s="35"/>
      <c r="F31" s="35"/>
      <c r="G31" s="35"/>
    </row>
    <row r="32" spans="1:20" x14ac:dyDescent="0.2">
      <c r="A32" s="6" t="s">
        <v>18</v>
      </c>
      <c r="C32" s="34" t="s">
        <v>53</v>
      </c>
      <c r="D32" s="35"/>
      <c r="E32" s="35"/>
      <c r="F32" s="35"/>
      <c r="G32" s="35"/>
    </row>
    <row r="33" spans="1:15" x14ac:dyDescent="0.2">
      <c r="A33" s="6" t="s">
        <v>19</v>
      </c>
      <c r="C33" s="34" t="s">
        <v>86</v>
      </c>
      <c r="D33" s="35"/>
      <c r="E33" s="35"/>
      <c r="F33" s="35"/>
      <c r="G33" s="35"/>
    </row>
    <row r="38" spans="1:15" x14ac:dyDescent="0.2">
      <c r="A38" s="27">
        <v>0.67708333333333337</v>
      </c>
    </row>
    <row r="39" spans="1:15" x14ac:dyDescent="0.2">
      <c r="A39" s="36" t="s">
        <v>20</v>
      </c>
      <c r="B39" s="37"/>
      <c r="C39" s="37"/>
      <c r="D39" s="37"/>
      <c r="I39" s="36" t="s">
        <v>21</v>
      </c>
      <c r="J39" s="37"/>
      <c r="K39" s="37"/>
      <c r="L39" s="37"/>
    </row>
    <row r="40" spans="1:15" x14ac:dyDescent="0.2">
      <c r="A40" s="1" t="s">
        <v>1</v>
      </c>
      <c r="B40" s="1" t="s">
        <v>2</v>
      </c>
      <c r="C40" s="1" t="s">
        <v>3</v>
      </c>
      <c r="D40" s="1" t="s">
        <v>4</v>
      </c>
      <c r="F40" s="38" t="s">
        <v>5</v>
      </c>
      <c r="G40" s="37"/>
      <c r="I40" s="1" t="s">
        <v>1</v>
      </c>
      <c r="J40" s="1" t="s">
        <v>2</v>
      </c>
      <c r="K40" s="1" t="s">
        <v>3</v>
      </c>
      <c r="L40" s="1" t="s">
        <v>4</v>
      </c>
      <c r="N40" s="38" t="s">
        <v>5</v>
      </c>
      <c r="O40" s="37"/>
    </row>
    <row r="41" spans="1:15" x14ac:dyDescent="0.2">
      <c r="A41" s="2" t="s">
        <v>6</v>
      </c>
      <c r="B41" s="3">
        <v>45.4</v>
      </c>
      <c r="C41" s="3">
        <v>46.9</v>
      </c>
      <c r="D41" s="3">
        <v>47.5</v>
      </c>
      <c r="F41" s="2" t="s">
        <v>7</v>
      </c>
      <c r="G41" s="4">
        <f>AVERAGE(B41:D43)</f>
        <v>46.822222222222223</v>
      </c>
      <c r="I41" s="2" t="s">
        <v>6</v>
      </c>
      <c r="J41" s="3">
        <v>552.79999999999995</v>
      </c>
      <c r="K41" s="3">
        <v>619.1</v>
      </c>
      <c r="L41" s="3">
        <v>613.6</v>
      </c>
      <c r="N41" s="2" t="s">
        <v>7</v>
      </c>
      <c r="O41" s="4">
        <f>AVERAGE(J41:L43)</f>
        <v>592.91111111111104</v>
      </c>
    </row>
    <row r="42" spans="1:15" x14ac:dyDescent="0.2">
      <c r="A42" s="2" t="s">
        <v>8</v>
      </c>
      <c r="B42" s="3">
        <v>45.3</v>
      </c>
      <c r="C42" s="3">
        <v>50</v>
      </c>
      <c r="D42" s="3">
        <v>49.1</v>
      </c>
      <c r="F42" s="2" t="s">
        <v>9</v>
      </c>
      <c r="G42" s="4">
        <f>MIN(B41:D43)</f>
        <v>44.2</v>
      </c>
      <c r="I42" s="2" t="s">
        <v>8</v>
      </c>
      <c r="J42" s="3">
        <v>604.6</v>
      </c>
      <c r="K42" s="3">
        <v>615.6</v>
      </c>
      <c r="L42" s="3">
        <v>585.9</v>
      </c>
      <c r="N42" s="2" t="s">
        <v>9</v>
      </c>
      <c r="O42" s="4">
        <f>MIN(J41:L43)</f>
        <v>552.79999999999995</v>
      </c>
    </row>
    <row r="43" spans="1:15" x14ac:dyDescent="0.2">
      <c r="A43" s="2" t="s">
        <v>10</v>
      </c>
      <c r="B43" s="3">
        <v>44.2</v>
      </c>
      <c r="C43" s="3">
        <v>46.4</v>
      </c>
      <c r="D43" s="3">
        <v>46.6</v>
      </c>
      <c r="F43" s="2" t="s">
        <v>11</v>
      </c>
      <c r="G43" s="4">
        <f>MAX(B41:D43)</f>
        <v>50</v>
      </c>
      <c r="I43" s="2" t="s">
        <v>10</v>
      </c>
      <c r="J43" s="3">
        <v>583.9</v>
      </c>
      <c r="K43" s="3">
        <v>559</v>
      </c>
      <c r="L43" s="3">
        <v>601.70000000000005</v>
      </c>
      <c r="N43" s="2" t="s">
        <v>11</v>
      </c>
      <c r="O43" s="4">
        <f>MAX(J41:L43)</f>
        <v>619.1</v>
      </c>
    </row>
    <row r="44" spans="1:15" x14ac:dyDescent="0.2">
      <c r="F44" s="2" t="s">
        <v>12</v>
      </c>
      <c r="G44" s="4">
        <f>G43-G42</f>
        <v>5.7999999999999972</v>
      </c>
      <c r="N44" s="2" t="s">
        <v>12</v>
      </c>
      <c r="O44" s="4">
        <f>O43-O42</f>
        <v>66.300000000000068</v>
      </c>
    </row>
    <row r="45" spans="1:15" x14ac:dyDescent="0.2">
      <c r="A45" s="5" t="s">
        <v>13</v>
      </c>
      <c r="F45" s="12" t="s">
        <v>67</v>
      </c>
      <c r="G45" s="13">
        <f>_xlfn.STDEV.S(B41:D43)</f>
        <v>1.8437582391529659</v>
      </c>
      <c r="N45" s="12" t="s">
        <v>66</v>
      </c>
      <c r="O45" s="13">
        <f>((MAX(J41:L43)-MIN(J41:L43))/(MAX(J41:L43)+MIN(J41:L43)))*100</f>
        <v>5.6574793071081197</v>
      </c>
    </row>
    <row r="46" spans="1:15" x14ac:dyDescent="0.2">
      <c r="A46" s="6" t="s">
        <v>14</v>
      </c>
      <c r="C46" s="34" t="s">
        <v>86</v>
      </c>
      <c r="D46" s="35"/>
      <c r="E46" s="35"/>
      <c r="F46" s="35"/>
      <c r="G46" s="35"/>
    </row>
    <row r="47" spans="1:15" x14ac:dyDescent="0.2">
      <c r="A47" s="6" t="s">
        <v>16</v>
      </c>
      <c r="C47" s="34"/>
      <c r="D47" s="35"/>
      <c r="E47" s="35"/>
      <c r="F47" s="35"/>
      <c r="G47" s="35"/>
    </row>
    <row r="48" spans="1:15" x14ac:dyDescent="0.2">
      <c r="A48" s="6" t="s">
        <v>18</v>
      </c>
      <c r="C48" s="34" t="s">
        <v>53</v>
      </c>
      <c r="D48" s="35"/>
      <c r="E48" s="35"/>
      <c r="F48" s="35"/>
      <c r="G48" s="35"/>
    </row>
    <row r="49" spans="1:15" x14ac:dyDescent="0.2">
      <c r="A49" s="6" t="s">
        <v>19</v>
      </c>
      <c r="C49" s="34" t="s">
        <v>86</v>
      </c>
      <c r="D49" s="35"/>
      <c r="E49" s="35"/>
      <c r="F49" s="35"/>
      <c r="G49" s="35"/>
    </row>
    <row r="53" spans="1:15" x14ac:dyDescent="0.2">
      <c r="A53" s="27">
        <v>0.6875</v>
      </c>
    </row>
    <row r="54" spans="1:15" x14ac:dyDescent="0.2">
      <c r="A54" s="36" t="s">
        <v>20</v>
      </c>
      <c r="B54" s="37"/>
      <c r="C54" s="37"/>
      <c r="D54" s="37"/>
      <c r="I54" s="36" t="s">
        <v>21</v>
      </c>
      <c r="J54" s="37"/>
      <c r="K54" s="37"/>
      <c r="L54" s="37"/>
    </row>
    <row r="55" spans="1:15" x14ac:dyDescent="0.2">
      <c r="A55" s="1" t="s">
        <v>1</v>
      </c>
      <c r="B55" s="1" t="s">
        <v>2</v>
      </c>
      <c r="C55" s="1" t="s">
        <v>3</v>
      </c>
      <c r="D55" s="1" t="s">
        <v>4</v>
      </c>
      <c r="F55" s="38" t="s">
        <v>5</v>
      </c>
      <c r="G55" s="37"/>
      <c r="I55" s="1" t="s">
        <v>1</v>
      </c>
      <c r="J55" s="1" t="s">
        <v>2</v>
      </c>
      <c r="K55" s="1" t="s">
        <v>3</v>
      </c>
      <c r="L55" s="1" t="s">
        <v>4</v>
      </c>
      <c r="N55" s="38" t="s">
        <v>5</v>
      </c>
      <c r="O55" s="37"/>
    </row>
    <row r="56" spans="1:15" x14ac:dyDescent="0.2">
      <c r="A56" s="2" t="s">
        <v>6</v>
      </c>
      <c r="B56" s="3">
        <v>43.6</v>
      </c>
      <c r="C56" s="3">
        <v>43.8</v>
      </c>
      <c r="D56" s="3">
        <v>44.8</v>
      </c>
      <c r="F56" s="2" t="s">
        <v>7</v>
      </c>
      <c r="G56" s="4">
        <f>AVERAGE(B56:D58)</f>
        <v>41.877777777777773</v>
      </c>
      <c r="I56" s="2" t="s">
        <v>6</v>
      </c>
      <c r="J56" s="3">
        <v>485.7</v>
      </c>
      <c r="K56" s="3">
        <v>577.9</v>
      </c>
      <c r="L56" s="3">
        <v>591.9</v>
      </c>
      <c r="N56" s="2" t="s">
        <v>7</v>
      </c>
      <c r="O56" s="4">
        <f>AVERAGE(J56:L58)</f>
        <v>413.42222222222222</v>
      </c>
    </row>
    <row r="57" spans="1:15" x14ac:dyDescent="0.2">
      <c r="A57" s="2" t="s">
        <v>8</v>
      </c>
      <c r="B57" s="3">
        <v>41</v>
      </c>
      <c r="C57" s="3">
        <v>44.6</v>
      </c>
      <c r="D57" s="3">
        <v>46.9</v>
      </c>
      <c r="F57" s="2" t="s">
        <v>9</v>
      </c>
      <c r="G57" s="4">
        <f>MIN(B56:D58)</f>
        <v>28.9</v>
      </c>
      <c r="I57" s="2" t="s">
        <v>8</v>
      </c>
      <c r="J57" s="3">
        <v>50.6</v>
      </c>
      <c r="K57" s="3">
        <v>517.1</v>
      </c>
      <c r="L57" s="3">
        <v>558.29999999999995</v>
      </c>
      <c r="N57" s="2" t="s">
        <v>9</v>
      </c>
      <c r="O57" s="4">
        <f>MIN(J56:L58)</f>
        <v>47.5</v>
      </c>
    </row>
    <row r="58" spans="1:15" x14ac:dyDescent="0.2">
      <c r="A58" s="2" t="s">
        <v>10</v>
      </c>
      <c r="B58" s="3">
        <v>28.9</v>
      </c>
      <c r="C58" s="3">
        <v>37.799999999999997</v>
      </c>
      <c r="D58" s="3">
        <v>45.5</v>
      </c>
      <c r="F58" s="2" t="s">
        <v>11</v>
      </c>
      <c r="G58" s="4">
        <f>MAX(B56:D58)</f>
        <v>46.9</v>
      </c>
      <c r="I58" s="2" t="s">
        <v>10</v>
      </c>
      <c r="J58" s="3">
        <v>47.5</v>
      </c>
      <c r="K58" s="3">
        <v>367.8</v>
      </c>
      <c r="L58" s="3">
        <v>524</v>
      </c>
      <c r="N58" s="2" t="s">
        <v>11</v>
      </c>
      <c r="O58" s="4">
        <f>MAX(J56:L58)</f>
        <v>591.9</v>
      </c>
    </row>
    <row r="59" spans="1:15" x14ac:dyDescent="0.2">
      <c r="F59" s="2" t="s">
        <v>12</v>
      </c>
      <c r="G59" s="4">
        <f>G58-G57</f>
        <v>18</v>
      </c>
      <c r="N59" s="2" t="s">
        <v>12</v>
      </c>
      <c r="O59" s="4">
        <f>O58-O57</f>
        <v>544.4</v>
      </c>
    </row>
    <row r="60" spans="1:15" x14ac:dyDescent="0.2">
      <c r="A60" s="5" t="s">
        <v>13</v>
      </c>
      <c r="F60" s="12" t="s">
        <v>67</v>
      </c>
      <c r="G60" s="13">
        <f>_xlfn.STDEV.S(B56:D58)</f>
        <v>5.5540025607164143</v>
      </c>
      <c r="N60" s="12" t="s">
        <v>66</v>
      </c>
      <c r="O60" s="13">
        <f>((MAX(J56:L58)-MIN(J56:L58))/(MAX(J56:L58)+MIN(J56:L58)))*100</f>
        <v>85.142320925867992</v>
      </c>
    </row>
    <row r="61" spans="1:15" x14ac:dyDescent="0.2">
      <c r="A61" s="6" t="s">
        <v>14</v>
      </c>
      <c r="C61" s="34" t="s">
        <v>86</v>
      </c>
      <c r="D61" s="35"/>
      <c r="E61" s="35"/>
      <c r="F61" s="35"/>
      <c r="G61" s="35"/>
    </row>
    <row r="62" spans="1:15" x14ac:dyDescent="0.2">
      <c r="A62" s="6" t="s">
        <v>16</v>
      </c>
      <c r="C62" s="34"/>
      <c r="D62" s="35"/>
      <c r="E62" s="35"/>
      <c r="F62" s="35"/>
      <c r="G62" s="35"/>
    </row>
    <row r="63" spans="1:15" x14ac:dyDescent="0.2">
      <c r="A63" s="6" t="s">
        <v>18</v>
      </c>
      <c r="C63" s="34" t="s">
        <v>53</v>
      </c>
      <c r="D63" s="35"/>
      <c r="E63" s="35"/>
      <c r="F63" s="35"/>
      <c r="G63" s="35"/>
    </row>
    <row r="64" spans="1:15" x14ac:dyDescent="0.2">
      <c r="A64" s="6" t="s">
        <v>19</v>
      </c>
      <c r="C64" s="34" t="s">
        <v>89</v>
      </c>
      <c r="D64" s="35"/>
      <c r="E64" s="35"/>
      <c r="F64" s="35"/>
      <c r="G64" s="35"/>
    </row>
  </sheetData>
  <mergeCells count="36">
    <mergeCell ref="A1:M1"/>
    <mergeCell ref="A5:D5"/>
    <mergeCell ref="I5:L5"/>
    <mergeCell ref="Q5:T5"/>
    <mergeCell ref="F6:G6"/>
    <mergeCell ref="N6:O6"/>
    <mergeCell ref="C33:G33"/>
    <mergeCell ref="V6:W6"/>
    <mergeCell ref="C12:G12"/>
    <mergeCell ref="C13:G13"/>
    <mergeCell ref="C14:G14"/>
    <mergeCell ref="C15:G15"/>
    <mergeCell ref="A23:D23"/>
    <mergeCell ref="I23:L23"/>
    <mergeCell ref="Q23:T23"/>
    <mergeCell ref="F24:G24"/>
    <mergeCell ref="N24:O24"/>
    <mergeCell ref="C30:G30"/>
    <mergeCell ref="C31:G31"/>
    <mergeCell ref="C32:G32"/>
    <mergeCell ref="I54:L54"/>
    <mergeCell ref="F55:G55"/>
    <mergeCell ref="N55:O55"/>
    <mergeCell ref="A39:D39"/>
    <mergeCell ref="I39:L39"/>
    <mergeCell ref="F40:G40"/>
    <mergeCell ref="N40:O40"/>
    <mergeCell ref="C46:G46"/>
    <mergeCell ref="C47:G47"/>
    <mergeCell ref="C61:G61"/>
    <mergeCell ref="C62:G62"/>
    <mergeCell ref="C63:G63"/>
    <mergeCell ref="C64:G64"/>
    <mergeCell ref="C48:G48"/>
    <mergeCell ref="C49:G49"/>
    <mergeCell ref="A54:D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A3D7-48F7-F145-8DD1-E7BBEE98AD89}">
  <dimension ref="A2:O57"/>
  <sheetViews>
    <sheetView workbookViewId="0">
      <selection activeCell="I25" sqref="I25"/>
    </sheetView>
  </sheetViews>
  <sheetFormatPr baseColWidth="10" defaultRowHeight="15" x14ac:dyDescent="0.2"/>
  <sheetData>
    <row r="2" spans="1:15" x14ac:dyDescent="0.2">
      <c r="A2" s="12" t="s">
        <v>96</v>
      </c>
    </row>
    <row r="4" spans="1:15" x14ac:dyDescent="0.2">
      <c r="J4" t="s">
        <v>94</v>
      </c>
    </row>
    <row r="5" spans="1:15" x14ac:dyDescent="0.2">
      <c r="A5" s="27"/>
    </row>
    <row r="6" spans="1:15" x14ac:dyDescent="0.2">
      <c r="A6" s="36" t="s">
        <v>20</v>
      </c>
      <c r="B6" s="37"/>
      <c r="C6" s="37"/>
      <c r="D6" s="37"/>
      <c r="I6" s="36" t="s">
        <v>21</v>
      </c>
      <c r="J6" s="37"/>
      <c r="K6" s="37"/>
      <c r="L6" s="37"/>
    </row>
    <row r="7" spans="1:15" x14ac:dyDescent="0.2">
      <c r="A7" s="1" t="s">
        <v>1</v>
      </c>
      <c r="B7" s="1" t="s">
        <v>2</v>
      </c>
      <c r="C7" s="1" t="s">
        <v>3</v>
      </c>
      <c r="D7" s="1" t="s">
        <v>4</v>
      </c>
      <c r="F7" s="38" t="s">
        <v>5</v>
      </c>
      <c r="G7" s="37"/>
      <c r="I7" s="1" t="s">
        <v>1</v>
      </c>
      <c r="J7" s="1" t="s">
        <v>2</v>
      </c>
      <c r="K7" s="1" t="s">
        <v>3</v>
      </c>
      <c r="L7" s="1" t="s">
        <v>4</v>
      </c>
      <c r="N7" s="38" t="s">
        <v>5</v>
      </c>
      <c r="O7" s="37"/>
    </row>
    <row r="8" spans="1:15" x14ac:dyDescent="0.2">
      <c r="A8" s="2" t="s">
        <v>6</v>
      </c>
      <c r="B8" s="3">
        <v>38</v>
      </c>
      <c r="C8" s="3">
        <v>39.5</v>
      </c>
      <c r="D8" s="3">
        <v>38.799999999999997</v>
      </c>
      <c r="F8" s="2" t="s">
        <v>7</v>
      </c>
      <c r="G8" s="4">
        <f>AVERAGE(B8:D10)</f>
        <v>38.644444444444439</v>
      </c>
      <c r="I8" s="2" t="s">
        <v>6</v>
      </c>
      <c r="J8" s="3">
        <v>334.1</v>
      </c>
      <c r="K8" s="3">
        <v>384.5</v>
      </c>
      <c r="L8" s="3">
        <v>337.4</v>
      </c>
      <c r="N8" s="2" t="s">
        <v>7</v>
      </c>
      <c r="O8" s="4">
        <f>AVERAGE(J8:L10)</f>
        <v>338.25555555555565</v>
      </c>
    </row>
    <row r="9" spans="1:15" x14ac:dyDescent="0.2">
      <c r="A9" s="2" t="s">
        <v>8</v>
      </c>
      <c r="B9" s="3">
        <v>38.4</v>
      </c>
      <c r="C9" s="3">
        <v>39.6</v>
      </c>
      <c r="D9" s="3">
        <v>40</v>
      </c>
      <c r="F9" s="2" t="s">
        <v>9</v>
      </c>
      <c r="G9" s="4">
        <f>MIN(B8:D10)</f>
        <v>35.1</v>
      </c>
      <c r="I9" s="2" t="s">
        <v>8</v>
      </c>
      <c r="J9" s="3">
        <v>316.5</v>
      </c>
      <c r="K9" s="3">
        <v>371.3</v>
      </c>
      <c r="L9" s="3">
        <v>348.6</v>
      </c>
      <c r="N9" s="2" t="s">
        <v>9</v>
      </c>
      <c r="O9" s="4">
        <f>MIN(J8:L10)</f>
        <v>312.3</v>
      </c>
    </row>
    <row r="10" spans="1:15" x14ac:dyDescent="0.2">
      <c r="A10" s="2" t="s">
        <v>10</v>
      </c>
      <c r="B10" s="3">
        <v>35.1</v>
      </c>
      <c r="C10" s="3">
        <v>39.5</v>
      </c>
      <c r="D10" s="3">
        <v>38.9</v>
      </c>
      <c r="F10" s="2" t="s">
        <v>11</v>
      </c>
      <c r="G10" s="4">
        <f>MAX(B8:D10)</f>
        <v>40</v>
      </c>
      <c r="I10" s="2" t="s">
        <v>10</v>
      </c>
      <c r="J10" s="3">
        <v>312.3</v>
      </c>
      <c r="K10" s="3">
        <v>321.8</v>
      </c>
      <c r="L10" s="3">
        <v>317.8</v>
      </c>
      <c r="N10" s="2" t="s">
        <v>11</v>
      </c>
      <c r="O10" s="4">
        <f>MAX(J8:L10)</f>
        <v>384.5</v>
      </c>
    </row>
    <row r="11" spans="1:15" x14ac:dyDescent="0.2">
      <c r="F11" s="2" t="s">
        <v>12</v>
      </c>
      <c r="G11" s="4">
        <f>G10-G9</f>
        <v>4.8999999999999986</v>
      </c>
      <c r="N11" s="2" t="s">
        <v>12</v>
      </c>
      <c r="O11" s="4">
        <f>O10-O9</f>
        <v>72.199999999999989</v>
      </c>
    </row>
    <row r="12" spans="1:15" x14ac:dyDescent="0.2">
      <c r="A12" s="5" t="s">
        <v>13</v>
      </c>
      <c r="F12" s="12" t="s">
        <v>67</v>
      </c>
      <c r="G12" s="13">
        <f>_xlfn.STDEV.S(B8:D10)</f>
        <v>1.4723375216905179</v>
      </c>
      <c r="N12" s="12" t="s">
        <v>66</v>
      </c>
      <c r="O12" s="13">
        <f>((MAX(J8:L10)-MIN(J8:L10))/(MAX(J8:L10)+MIN(J8:L10)))*100</f>
        <v>10.361653272101032</v>
      </c>
    </row>
    <row r="13" spans="1:15" x14ac:dyDescent="0.2">
      <c r="A13" s="6" t="s">
        <v>14</v>
      </c>
      <c r="C13" s="34" t="s">
        <v>97</v>
      </c>
      <c r="D13" s="35"/>
      <c r="E13" s="35"/>
      <c r="F13" s="35"/>
      <c r="G13" s="35"/>
    </row>
    <row r="14" spans="1:15" x14ac:dyDescent="0.2">
      <c r="A14" s="6" t="s">
        <v>16</v>
      </c>
      <c r="C14" s="34" t="s">
        <v>95</v>
      </c>
      <c r="D14" s="35"/>
      <c r="E14" s="35"/>
      <c r="F14" s="35"/>
      <c r="G14" s="35"/>
    </row>
    <row r="15" spans="1:15" x14ac:dyDescent="0.2">
      <c r="A15" s="6" t="s">
        <v>18</v>
      </c>
      <c r="C15" s="34" t="s">
        <v>53</v>
      </c>
      <c r="D15" s="35"/>
      <c r="E15" s="35"/>
      <c r="F15" s="35"/>
      <c r="G15" s="35"/>
    </row>
    <row r="16" spans="1:15" x14ac:dyDescent="0.2">
      <c r="A16" s="6" t="s">
        <v>19</v>
      </c>
      <c r="C16" s="34" t="s">
        <v>92</v>
      </c>
      <c r="D16" s="35"/>
      <c r="E16" s="35"/>
      <c r="F16" s="35"/>
      <c r="G16" s="35"/>
    </row>
    <row r="18" spans="1:15" x14ac:dyDescent="0.2">
      <c r="A18" s="27"/>
    </row>
    <row r="19" spans="1:15" x14ac:dyDescent="0.2">
      <c r="A19" s="36" t="s">
        <v>20</v>
      </c>
      <c r="B19" s="37"/>
      <c r="C19" s="37"/>
      <c r="D19" s="37"/>
      <c r="I19" s="36" t="s">
        <v>21</v>
      </c>
      <c r="J19" s="37"/>
      <c r="K19" s="37"/>
      <c r="L19" s="37"/>
    </row>
    <row r="20" spans="1:15" x14ac:dyDescent="0.2">
      <c r="A20" s="1" t="s">
        <v>1</v>
      </c>
      <c r="B20" s="1" t="s">
        <v>2</v>
      </c>
      <c r="C20" s="1" t="s">
        <v>3</v>
      </c>
      <c r="D20" s="1" t="s">
        <v>4</v>
      </c>
      <c r="F20" s="38" t="s">
        <v>5</v>
      </c>
      <c r="G20" s="37"/>
      <c r="I20" s="1" t="s">
        <v>1</v>
      </c>
      <c r="J20" s="1" t="s">
        <v>2</v>
      </c>
      <c r="K20" s="1" t="s">
        <v>3</v>
      </c>
      <c r="L20" s="1" t="s">
        <v>4</v>
      </c>
      <c r="N20" s="38" t="s">
        <v>5</v>
      </c>
      <c r="O20" s="37"/>
    </row>
    <row r="21" spans="1:15" x14ac:dyDescent="0.2">
      <c r="A21" s="2" t="s">
        <v>6</v>
      </c>
      <c r="B21" s="3">
        <v>28.5</v>
      </c>
      <c r="C21" s="3">
        <v>30.1</v>
      </c>
      <c r="D21" s="3">
        <v>30.6</v>
      </c>
      <c r="F21" s="2" t="s">
        <v>7</v>
      </c>
      <c r="G21" s="4">
        <f>AVERAGE(B21:D23)</f>
        <v>32.24444444444444</v>
      </c>
      <c r="I21" s="2" t="s">
        <v>6</v>
      </c>
      <c r="J21" s="3">
        <v>329.7</v>
      </c>
      <c r="K21" s="3">
        <v>380.3</v>
      </c>
      <c r="L21" s="3">
        <v>304.60000000000002</v>
      </c>
      <c r="N21" s="2" t="s">
        <v>7</v>
      </c>
      <c r="O21" s="4">
        <f>AVERAGE(J21:L23)</f>
        <v>340.23333333333335</v>
      </c>
    </row>
    <row r="22" spans="1:15" x14ac:dyDescent="0.2">
      <c r="A22" s="2" t="s">
        <v>8</v>
      </c>
      <c r="B22" s="3">
        <v>31</v>
      </c>
      <c r="C22" s="3">
        <v>32</v>
      </c>
      <c r="D22" s="3">
        <v>32.799999999999997</v>
      </c>
      <c r="F22" s="2" t="s">
        <v>9</v>
      </c>
      <c r="G22" s="4">
        <f>MIN(B21:D23)</f>
        <v>28.5</v>
      </c>
      <c r="I22" s="2" t="s">
        <v>8</v>
      </c>
      <c r="J22" s="3">
        <v>307</v>
      </c>
      <c r="K22" s="3">
        <v>385</v>
      </c>
      <c r="L22" s="3">
        <v>340.7</v>
      </c>
      <c r="N22" s="2" t="s">
        <v>9</v>
      </c>
      <c r="O22" s="4">
        <f>MIN(J21:L23)</f>
        <v>304.60000000000002</v>
      </c>
    </row>
    <row r="23" spans="1:15" x14ac:dyDescent="0.2">
      <c r="A23" s="2" t="s">
        <v>10</v>
      </c>
      <c r="B23" s="3">
        <v>34.299999999999997</v>
      </c>
      <c r="C23" s="3">
        <v>35.1</v>
      </c>
      <c r="D23" s="3">
        <v>35.799999999999997</v>
      </c>
      <c r="F23" s="2" t="s">
        <v>11</v>
      </c>
      <c r="G23" s="4">
        <f>MAX(B21:D23)</f>
        <v>35.799999999999997</v>
      </c>
      <c r="I23" s="2" t="s">
        <v>10</v>
      </c>
      <c r="J23" s="3">
        <v>306.3</v>
      </c>
      <c r="K23" s="3">
        <v>368.5</v>
      </c>
      <c r="L23" s="3">
        <v>340</v>
      </c>
      <c r="N23" s="2" t="s">
        <v>11</v>
      </c>
      <c r="O23" s="4">
        <f>MAX(J21:L23)</f>
        <v>385</v>
      </c>
    </row>
    <row r="24" spans="1:15" x14ac:dyDescent="0.2">
      <c r="F24" s="2" t="s">
        <v>12</v>
      </c>
      <c r="G24" s="4">
        <f>G23-G22</f>
        <v>7.2999999999999972</v>
      </c>
      <c r="N24" s="2" t="s">
        <v>12</v>
      </c>
      <c r="O24" s="4">
        <f>O23-O22</f>
        <v>80.399999999999977</v>
      </c>
    </row>
    <row r="25" spans="1:15" x14ac:dyDescent="0.2">
      <c r="A25" s="5" t="s">
        <v>13</v>
      </c>
      <c r="F25" s="12" t="s">
        <v>67</v>
      </c>
      <c r="G25" s="13">
        <f>_xlfn.STDEV.S(B21:D23)</f>
        <v>2.4561713657189665</v>
      </c>
      <c r="N25" s="12" t="s">
        <v>66</v>
      </c>
      <c r="O25" s="13">
        <f>((MAX(J21:L23)-MIN(J21:L23))/(MAX(J21:L23)+MIN(J21:L23)))*100</f>
        <v>11.658932714617166</v>
      </c>
    </row>
    <row r="26" spans="1:15" x14ac:dyDescent="0.2">
      <c r="A26" s="6" t="s">
        <v>14</v>
      </c>
      <c r="C26" s="34" t="s">
        <v>98</v>
      </c>
      <c r="D26" s="35"/>
      <c r="E26" s="35"/>
      <c r="F26" s="35"/>
      <c r="G26" s="35"/>
    </row>
    <row r="27" spans="1:15" x14ac:dyDescent="0.2">
      <c r="A27" s="6" t="s">
        <v>16</v>
      </c>
      <c r="C27" s="34" t="s">
        <v>93</v>
      </c>
      <c r="D27" s="35"/>
      <c r="E27" s="35"/>
      <c r="F27" s="35"/>
      <c r="G27" s="35"/>
    </row>
    <row r="28" spans="1:15" x14ac:dyDescent="0.2">
      <c r="A28" s="6" t="s">
        <v>18</v>
      </c>
      <c r="C28" s="34" t="s">
        <v>53</v>
      </c>
      <c r="D28" s="35"/>
      <c r="E28" s="35"/>
      <c r="F28" s="35"/>
      <c r="G28" s="35"/>
    </row>
    <row r="29" spans="1:15" x14ac:dyDescent="0.2">
      <c r="A29" s="6" t="s">
        <v>19</v>
      </c>
      <c r="C29" s="34" t="s">
        <v>92</v>
      </c>
      <c r="D29" s="35"/>
      <c r="E29" s="35"/>
      <c r="F29" s="35"/>
      <c r="G29" s="35"/>
    </row>
    <row r="32" spans="1:15" x14ac:dyDescent="0.2">
      <c r="A32" s="27"/>
    </row>
    <row r="33" spans="1:15" x14ac:dyDescent="0.2">
      <c r="A33" s="36" t="s">
        <v>20</v>
      </c>
      <c r="B33" s="37"/>
      <c r="C33" s="37"/>
      <c r="D33" s="37"/>
      <c r="I33" s="36" t="s">
        <v>21</v>
      </c>
      <c r="J33" s="37"/>
      <c r="K33" s="37"/>
      <c r="L33" s="37"/>
    </row>
    <row r="34" spans="1:15" x14ac:dyDescent="0.2">
      <c r="A34" s="1" t="s">
        <v>1</v>
      </c>
      <c r="B34" s="1" t="s">
        <v>2</v>
      </c>
      <c r="C34" s="1" t="s">
        <v>3</v>
      </c>
      <c r="D34" s="1" t="s">
        <v>4</v>
      </c>
      <c r="F34" s="38" t="s">
        <v>5</v>
      </c>
      <c r="G34" s="37"/>
      <c r="I34" s="1" t="s">
        <v>1</v>
      </c>
      <c r="J34" s="1" t="s">
        <v>2</v>
      </c>
      <c r="K34" s="1" t="s">
        <v>3</v>
      </c>
      <c r="L34" s="1" t="s">
        <v>4</v>
      </c>
      <c r="N34" s="38" t="s">
        <v>5</v>
      </c>
      <c r="O34" s="37"/>
    </row>
    <row r="35" spans="1:15" x14ac:dyDescent="0.2">
      <c r="A35" s="2" t="s">
        <v>6</v>
      </c>
      <c r="B35" s="3">
        <v>42.2</v>
      </c>
      <c r="C35" s="3">
        <v>46</v>
      </c>
      <c r="D35" s="3">
        <v>46.1</v>
      </c>
      <c r="F35" s="2" t="s">
        <v>7</v>
      </c>
      <c r="G35" s="4">
        <f>AVERAGE(B35:D37)</f>
        <v>45.7</v>
      </c>
      <c r="I35" s="2" t="s">
        <v>6</v>
      </c>
      <c r="J35" s="3">
        <v>335.4</v>
      </c>
      <c r="K35" s="3">
        <v>412.7</v>
      </c>
      <c r="L35" s="3">
        <v>341.1</v>
      </c>
      <c r="N35" s="2" t="s">
        <v>7</v>
      </c>
      <c r="O35" s="4">
        <f>AVERAGE(J35:L37)</f>
        <v>370.5625</v>
      </c>
    </row>
    <row r="36" spans="1:15" x14ac:dyDescent="0.2">
      <c r="A36" s="2" t="s">
        <v>8</v>
      </c>
      <c r="B36" s="3">
        <v>45.5</v>
      </c>
      <c r="C36" s="3">
        <v>47.2</v>
      </c>
      <c r="D36" s="3">
        <v>46.8</v>
      </c>
      <c r="F36" s="2" t="s">
        <v>9</v>
      </c>
      <c r="G36" s="4">
        <f>MIN(B35:D37)</f>
        <v>42.2</v>
      </c>
      <c r="I36" s="2" t="s">
        <v>8</v>
      </c>
      <c r="J36" s="3">
        <v>346</v>
      </c>
      <c r="K36" s="3">
        <v>425.9</v>
      </c>
      <c r="L36" s="3">
        <v>402.2</v>
      </c>
      <c r="N36" s="2" t="s">
        <v>9</v>
      </c>
      <c r="O36" s="4">
        <f>MIN(J35:L37)</f>
        <v>331.4</v>
      </c>
    </row>
    <row r="37" spans="1:15" x14ac:dyDescent="0.2">
      <c r="A37" s="2" t="s">
        <v>10</v>
      </c>
      <c r="B37" s="3">
        <v>43</v>
      </c>
      <c r="C37" s="3">
        <v>48</v>
      </c>
      <c r="D37" s="3">
        <v>46.5</v>
      </c>
      <c r="F37" s="2" t="s">
        <v>11</v>
      </c>
      <c r="G37" s="4">
        <f>MAX(B35:D37)</f>
        <v>48</v>
      </c>
      <c r="I37" s="2" t="s">
        <v>10</v>
      </c>
      <c r="J37" s="3">
        <v>331.4</v>
      </c>
      <c r="K37" s="3" t="s">
        <v>100</v>
      </c>
      <c r="L37" s="3">
        <v>369.8</v>
      </c>
      <c r="N37" s="2" t="s">
        <v>11</v>
      </c>
      <c r="O37" s="4">
        <f>MAX(J35:L37)</f>
        <v>425.9</v>
      </c>
    </row>
    <row r="38" spans="1:15" x14ac:dyDescent="0.2">
      <c r="F38" s="2" t="s">
        <v>12</v>
      </c>
      <c r="G38" s="4">
        <f>G37-G36</f>
        <v>5.7999999999999972</v>
      </c>
      <c r="N38" s="2" t="s">
        <v>12</v>
      </c>
      <c r="O38" s="4">
        <f>O37-O36</f>
        <v>94.5</v>
      </c>
    </row>
    <row r="39" spans="1:15" x14ac:dyDescent="0.2">
      <c r="A39" s="5" t="s">
        <v>13</v>
      </c>
      <c r="F39" s="12" t="s">
        <v>67</v>
      </c>
      <c r="G39" s="13">
        <f>_xlfn.STDEV.S(B35:D37)</f>
        <v>1.9111514853616387</v>
      </c>
      <c r="N39" s="12" t="s">
        <v>66</v>
      </c>
      <c r="O39" s="13">
        <f>((MAX(J35:L37)-MIN(J35:L37))/(MAX(J35:L37)+MIN(J35:L37)))*100</f>
        <v>12.478542189356927</v>
      </c>
    </row>
    <row r="40" spans="1:15" x14ac:dyDescent="0.2">
      <c r="A40" s="6" t="s">
        <v>14</v>
      </c>
      <c r="C40" s="34" t="s">
        <v>99</v>
      </c>
      <c r="D40" s="35"/>
      <c r="E40" s="35"/>
      <c r="F40" s="35"/>
      <c r="G40" s="35"/>
    </row>
    <row r="41" spans="1:15" x14ac:dyDescent="0.2">
      <c r="A41" s="6" t="s">
        <v>16</v>
      </c>
      <c r="C41" s="34" t="s">
        <v>93</v>
      </c>
      <c r="D41" s="35"/>
      <c r="E41" s="35"/>
      <c r="F41" s="35"/>
      <c r="G41" s="35"/>
    </row>
    <row r="42" spans="1:15" x14ac:dyDescent="0.2">
      <c r="A42" s="6" t="s">
        <v>18</v>
      </c>
      <c r="C42" s="34" t="s">
        <v>53</v>
      </c>
      <c r="D42" s="35"/>
      <c r="E42" s="35"/>
      <c r="F42" s="35"/>
      <c r="G42" s="35"/>
    </row>
    <row r="43" spans="1:15" x14ac:dyDescent="0.2">
      <c r="A43" s="6" t="s">
        <v>19</v>
      </c>
      <c r="C43" s="34" t="s">
        <v>92</v>
      </c>
      <c r="D43" s="35"/>
      <c r="E43" s="35"/>
      <c r="F43" s="35"/>
      <c r="G43" s="35"/>
    </row>
    <row r="46" spans="1:15" x14ac:dyDescent="0.2">
      <c r="A46" s="27"/>
    </row>
    <row r="47" spans="1:15" x14ac:dyDescent="0.2">
      <c r="A47" s="36" t="s">
        <v>20</v>
      </c>
      <c r="B47" s="37"/>
      <c r="C47" s="37"/>
      <c r="D47" s="37"/>
      <c r="I47" s="36" t="s">
        <v>21</v>
      </c>
      <c r="J47" s="37"/>
      <c r="K47" s="37"/>
      <c r="L47" s="37"/>
    </row>
    <row r="48" spans="1:15" x14ac:dyDescent="0.2">
      <c r="A48" s="1" t="s">
        <v>1</v>
      </c>
      <c r="B48" s="1" t="s">
        <v>2</v>
      </c>
      <c r="C48" s="1" t="s">
        <v>3</v>
      </c>
      <c r="D48" s="1" t="s">
        <v>4</v>
      </c>
      <c r="F48" s="38" t="s">
        <v>5</v>
      </c>
      <c r="G48" s="37"/>
      <c r="I48" s="1" t="s">
        <v>1</v>
      </c>
      <c r="J48" s="1" t="s">
        <v>2</v>
      </c>
      <c r="K48" s="1" t="s">
        <v>3</v>
      </c>
      <c r="L48" s="1" t="s">
        <v>4</v>
      </c>
      <c r="N48" s="38" t="s">
        <v>5</v>
      </c>
      <c r="O48" s="37"/>
    </row>
    <row r="49" spans="1:15" x14ac:dyDescent="0.2">
      <c r="A49" s="2" t="s">
        <v>6</v>
      </c>
      <c r="B49" s="3">
        <v>47.3</v>
      </c>
      <c r="C49" s="3">
        <v>47.8</v>
      </c>
      <c r="D49" s="3">
        <v>49.6</v>
      </c>
      <c r="F49" s="2" t="s">
        <v>7</v>
      </c>
      <c r="G49" s="4">
        <f>AVERAGE(B49:D51)</f>
        <v>48.833333333333336</v>
      </c>
      <c r="I49" s="2" t="s">
        <v>6</v>
      </c>
      <c r="J49" s="3">
        <v>613.79999999999995</v>
      </c>
      <c r="K49" s="3">
        <v>651.9</v>
      </c>
      <c r="L49" s="3">
        <v>632.79999999999995</v>
      </c>
      <c r="N49" s="2" t="s">
        <v>7</v>
      </c>
      <c r="O49" s="4">
        <f>AVERAGE(J49:L51)</f>
        <v>629.01111111111118</v>
      </c>
    </row>
    <row r="50" spans="1:15" x14ac:dyDescent="0.2">
      <c r="A50" s="2" t="s">
        <v>8</v>
      </c>
      <c r="B50" s="3">
        <v>48</v>
      </c>
      <c r="C50" s="3">
        <v>51.4</v>
      </c>
      <c r="D50" s="3">
        <v>51.1</v>
      </c>
      <c r="F50" s="2" t="s">
        <v>9</v>
      </c>
      <c r="G50" s="4">
        <f>MIN(B49:D51)</f>
        <v>47.3</v>
      </c>
      <c r="I50" s="2" t="s">
        <v>8</v>
      </c>
      <c r="J50" s="3">
        <v>662.6</v>
      </c>
      <c r="K50" s="3">
        <v>626.79999999999995</v>
      </c>
      <c r="L50" s="3">
        <v>607.9</v>
      </c>
      <c r="N50" s="2" t="s">
        <v>9</v>
      </c>
      <c r="O50" s="4">
        <f>MIN(J49:L51)</f>
        <v>604.4</v>
      </c>
    </row>
    <row r="51" spans="1:15" x14ac:dyDescent="0.2">
      <c r="A51" s="2" t="s">
        <v>10</v>
      </c>
      <c r="B51" s="3">
        <v>47.8</v>
      </c>
      <c r="C51" s="3">
        <v>48.3</v>
      </c>
      <c r="D51" s="3">
        <v>48.2</v>
      </c>
      <c r="F51" s="2" t="s">
        <v>11</v>
      </c>
      <c r="G51" s="4">
        <f>MAX(B49:D51)</f>
        <v>51.4</v>
      </c>
      <c r="I51" s="2" t="s">
        <v>10</v>
      </c>
      <c r="J51" s="3">
        <v>604.4</v>
      </c>
      <c r="K51" s="3">
        <v>630.79999999999995</v>
      </c>
      <c r="L51" s="3">
        <v>630.1</v>
      </c>
      <c r="N51" s="2" t="s">
        <v>11</v>
      </c>
      <c r="O51" s="4">
        <f>MAX(J49:L51)</f>
        <v>662.6</v>
      </c>
    </row>
    <row r="52" spans="1:15" x14ac:dyDescent="0.2">
      <c r="F52" s="2" t="s">
        <v>12</v>
      </c>
      <c r="G52" s="4">
        <f>G51-G50</f>
        <v>4.1000000000000014</v>
      </c>
      <c r="N52" s="2" t="s">
        <v>12</v>
      </c>
      <c r="O52" s="4">
        <f>O51-O50</f>
        <v>58.200000000000045</v>
      </c>
    </row>
    <row r="53" spans="1:15" x14ac:dyDescent="0.2">
      <c r="A53" s="5" t="s">
        <v>13</v>
      </c>
      <c r="F53" s="12" t="s">
        <v>67</v>
      </c>
      <c r="G53" s="13">
        <f>_xlfn.STDEV.S(B49:D51)</f>
        <v>1.5074813431681344</v>
      </c>
      <c r="N53" s="12" t="s">
        <v>66</v>
      </c>
      <c r="O53" s="13">
        <f>((MAX(J49:L51)-MIN(J49:L51))/(MAX(J49:L51)+MIN(J49:L51)))*100</f>
        <v>4.5935280189423873</v>
      </c>
    </row>
    <row r="54" spans="1:15" x14ac:dyDescent="0.2">
      <c r="A54" s="6" t="s">
        <v>14</v>
      </c>
      <c r="C54" s="34" t="s">
        <v>91</v>
      </c>
      <c r="D54" s="35"/>
      <c r="E54" s="35"/>
      <c r="F54" s="35"/>
      <c r="G54" s="35"/>
    </row>
    <row r="55" spans="1:15" x14ac:dyDescent="0.2">
      <c r="A55" s="6" t="s">
        <v>16</v>
      </c>
      <c r="C55" s="34" t="s">
        <v>93</v>
      </c>
      <c r="D55" s="35"/>
      <c r="E55" s="35"/>
      <c r="F55" s="35"/>
      <c r="G55" s="35"/>
    </row>
    <row r="56" spans="1:15" x14ac:dyDescent="0.2">
      <c r="A56" s="6" t="s">
        <v>18</v>
      </c>
      <c r="C56" s="34" t="s">
        <v>53</v>
      </c>
      <c r="D56" s="35"/>
      <c r="E56" s="35"/>
      <c r="F56" s="35"/>
      <c r="G56" s="35"/>
    </row>
    <row r="57" spans="1:15" x14ac:dyDescent="0.2">
      <c r="A57" s="6" t="s">
        <v>19</v>
      </c>
      <c r="C57" s="34" t="s">
        <v>92</v>
      </c>
      <c r="D57" s="35"/>
      <c r="E57" s="35"/>
      <c r="F57" s="35"/>
      <c r="G57" s="35"/>
    </row>
  </sheetData>
  <mergeCells count="32">
    <mergeCell ref="C56:G56"/>
    <mergeCell ref="C57:G57"/>
    <mergeCell ref="A47:D47"/>
    <mergeCell ref="I47:L47"/>
    <mergeCell ref="F48:G48"/>
    <mergeCell ref="N48:O48"/>
    <mergeCell ref="C54:G54"/>
    <mergeCell ref="C55:G55"/>
    <mergeCell ref="F34:G34"/>
    <mergeCell ref="N34:O34"/>
    <mergeCell ref="C40:G40"/>
    <mergeCell ref="C41:G41"/>
    <mergeCell ref="C42:G42"/>
    <mergeCell ref="C43:G43"/>
    <mergeCell ref="I33:L33"/>
    <mergeCell ref="C15:G15"/>
    <mergeCell ref="C16:G16"/>
    <mergeCell ref="A19:D19"/>
    <mergeCell ref="I19:L19"/>
    <mergeCell ref="F20:G20"/>
    <mergeCell ref="C26:G26"/>
    <mergeCell ref="C27:G27"/>
    <mergeCell ref="C28:G28"/>
    <mergeCell ref="C29:G29"/>
    <mergeCell ref="A33:D33"/>
    <mergeCell ref="N20:O20"/>
    <mergeCell ref="A6:D6"/>
    <mergeCell ref="I6:L6"/>
    <mergeCell ref="F7:G7"/>
    <mergeCell ref="N7:O7"/>
    <mergeCell ref="C13:G13"/>
    <mergeCell ref="C14:G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FDD2-786E-E94D-BBE9-553740CF9176}">
  <dimension ref="A1:O30"/>
  <sheetViews>
    <sheetView workbookViewId="0">
      <selection activeCell="I14" sqref="I14"/>
    </sheetView>
  </sheetViews>
  <sheetFormatPr baseColWidth="10" defaultRowHeight="15" x14ac:dyDescent="0.2"/>
  <sheetData>
    <row r="1" spans="1:15" x14ac:dyDescent="0.2">
      <c r="J1" t="s">
        <v>164</v>
      </c>
    </row>
    <row r="2" spans="1:15" x14ac:dyDescent="0.2">
      <c r="A2" s="12" t="s">
        <v>96</v>
      </c>
    </row>
    <row r="5" spans="1:15" ht="2" customHeight="1" x14ac:dyDescent="0.2">
      <c r="A5" s="27"/>
    </row>
    <row r="6" spans="1:15" x14ac:dyDescent="0.2">
      <c r="A6" s="36" t="s">
        <v>165</v>
      </c>
      <c r="B6" s="37"/>
      <c r="C6" s="37"/>
      <c r="D6" s="37"/>
      <c r="I6" s="36" t="s">
        <v>166</v>
      </c>
      <c r="J6" s="37"/>
      <c r="K6" s="37"/>
      <c r="L6" s="37"/>
    </row>
    <row r="7" spans="1:15" x14ac:dyDescent="0.2">
      <c r="A7" s="1" t="s">
        <v>1</v>
      </c>
      <c r="B7" s="1" t="s">
        <v>2</v>
      </c>
      <c r="C7" s="1" t="s">
        <v>3</v>
      </c>
      <c r="D7" s="1" t="s">
        <v>4</v>
      </c>
      <c r="F7" s="38" t="s">
        <v>5</v>
      </c>
      <c r="G7" s="37"/>
      <c r="I7" s="1" t="s">
        <v>1</v>
      </c>
      <c r="J7" s="1" t="s">
        <v>2</v>
      </c>
      <c r="K7" s="1" t="s">
        <v>3</v>
      </c>
      <c r="L7" s="1" t="s">
        <v>4</v>
      </c>
      <c r="N7" s="38" t="s">
        <v>5</v>
      </c>
      <c r="O7" s="37"/>
    </row>
    <row r="8" spans="1:15" x14ac:dyDescent="0.2">
      <c r="A8" s="2" t="s">
        <v>6</v>
      </c>
      <c r="B8" s="3">
        <v>27.9</v>
      </c>
      <c r="C8" s="3">
        <v>30.8</v>
      </c>
      <c r="D8" s="3">
        <v>31.2</v>
      </c>
      <c r="F8" s="2" t="s">
        <v>7</v>
      </c>
      <c r="G8" s="4">
        <f>AVERAGE(B8:D10)</f>
        <v>30.677777777777781</v>
      </c>
      <c r="I8" s="2" t="s">
        <v>6</v>
      </c>
      <c r="J8" s="3">
        <v>312.5</v>
      </c>
      <c r="K8" s="3">
        <v>355.5</v>
      </c>
      <c r="L8" s="3">
        <v>301.2</v>
      </c>
      <c r="N8" s="2" t="s">
        <v>7</v>
      </c>
      <c r="O8" s="4">
        <f>AVERAGE(J8:L10)</f>
        <v>333.98888888888888</v>
      </c>
    </row>
    <row r="9" spans="1:15" x14ac:dyDescent="0.2">
      <c r="A9" s="2" t="s">
        <v>8</v>
      </c>
      <c r="B9" s="3">
        <v>29.7</v>
      </c>
      <c r="C9" s="3">
        <v>31.9</v>
      </c>
      <c r="D9" s="3">
        <v>32.1</v>
      </c>
      <c r="F9" s="2" t="s">
        <v>9</v>
      </c>
      <c r="G9" s="4">
        <f>MIN(B8:D10)</f>
        <v>27.9</v>
      </c>
      <c r="I9" s="2" t="s">
        <v>8</v>
      </c>
      <c r="J9" s="3">
        <v>315.8</v>
      </c>
      <c r="K9" s="3">
        <v>371.3</v>
      </c>
      <c r="L9" s="3">
        <v>350</v>
      </c>
      <c r="N9" s="2" t="s">
        <v>9</v>
      </c>
      <c r="O9" s="4">
        <f>MIN(J8:L10)</f>
        <v>301.2</v>
      </c>
    </row>
    <row r="10" spans="1:15" x14ac:dyDescent="0.2">
      <c r="A10" s="2" t="s">
        <v>10</v>
      </c>
      <c r="B10" s="3">
        <v>29</v>
      </c>
      <c r="C10" s="3">
        <v>32.200000000000003</v>
      </c>
      <c r="D10" s="3">
        <v>31.3</v>
      </c>
      <c r="F10" s="2" t="s">
        <v>11</v>
      </c>
      <c r="G10" s="4">
        <f>MAX(B8:D10)</f>
        <v>32.200000000000003</v>
      </c>
      <c r="I10" s="2" t="s">
        <v>10</v>
      </c>
      <c r="J10" s="3">
        <v>309</v>
      </c>
      <c r="K10" s="3">
        <v>359.2</v>
      </c>
      <c r="L10" s="3">
        <v>331.4</v>
      </c>
      <c r="N10" s="2" t="s">
        <v>11</v>
      </c>
      <c r="O10" s="4">
        <f>MAX(J8:L10)</f>
        <v>371.3</v>
      </c>
    </row>
    <row r="11" spans="1:15" x14ac:dyDescent="0.2">
      <c r="F11" s="2" t="s">
        <v>12</v>
      </c>
      <c r="G11" s="4">
        <f>G10-G9</f>
        <v>4.3000000000000043</v>
      </c>
      <c r="N11" s="2" t="s">
        <v>12</v>
      </c>
      <c r="O11" s="4">
        <f>O10-O9</f>
        <v>70.100000000000023</v>
      </c>
    </row>
    <row r="12" spans="1:15" x14ac:dyDescent="0.2">
      <c r="A12" s="5" t="s">
        <v>13</v>
      </c>
      <c r="F12" s="12" t="s">
        <v>67</v>
      </c>
      <c r="G12" s="13">
        <f>_xlfn.STDEV.S(B8:D10)</f>
        <v>1.4998148033822198</v>
      </c>
      <c r="N12" s="12" t="s">
        <v>66</v>
      </c>
      <c r="O12" s="13">
        <f>((MAX(J8:L10)-MIN(J8:L10))/(MAX(J8:L10)+MIN(J8:L10)))*100</f>
        <v>10.423791821561341</v>
      </c>
    </row>
    <row r="13" spans="1:15" x14ac:dyDescent="0.2">
      <c r="A13" s="6" t="s">
        <v>14</v>
      </c>
      <c r="C13" s="34" t="s">
        <v>97</v>
      </c>
      <c r="D13" s="35"/>
      <c r="E13" s="35"/>
      <c r="F13" s="35"/>
      <c r="G13" s="35"/>
    </row>
    <row r="14" spans="1:15" x14ac:dyDescent="0.2">
      <c r="A14" s="6" t="s">
        <v>16</v>
      </c>
      <c r="C14" s="34" t="s">
        <v>95</v>
      </c>
      <c r="D14" s="35"/>
      <c r="E14" s="35"/>
      <c r="F14" s="35"/>
      <c r="G14" s="35"/>
    </row>
    <row r="15" spans="1:15" x14ac:dyDescent="0.2">
      <c r="A15" s="6" t="s">
        <v>18</v>
      </c>
      <c r="C15" s="34" t="s">
        <v>53</v>
      </c>
      <c r="D15" s="35"/>
      <c r="E15" s="35"/>
      <c r="F15" s="35"/>
      <c r="G15" s="35"/>
    </row>
    <row r="16" spans="1:15" x14ac:dyDescent="0.2">
      <c r="A16" s="6" t="s">
        <v>19</v>
      </c>
      <c r="C16" s="34" t="s">
        <v>92</v>
      </c>
      <c r="D16" s="35"/>
      <c r="E16" s="35"/>
      <c r="F16" s="35"/>
      <c r="G16" s="35"/>
    </row>
    <row r="19" spans="1:15" x14ac:dyDescent="0.2">
      <c r="A19" s="27"/>
    </row>
    <row r="20" spans="1:15" x14ac:dyDescent="0.2">
      <c r="A20" s="36" t="s">
        <v>20</v>
      </c>
      <c r="B20" s="37"/>
      <c r="C20" s="37"/>
      <c r="D20" s="37"/>
      <c r="I20" s="36" t="s">
        <v>21</v>
      </c>
      <c r="J20" s="37"/>
      <c r="K20" s="37"/>
      <c r="L20" s="37"/>
    </row>
    <row r="21" spans="1:15" x14ac:dyDescent="0.2">
      <c r="A21" s="1" t="s">
        <v>1</v>
      </c>
      <c r="B21" s="1" t="s">
        <v>2</v>
      </c>
      <c r="C21" s="1" t="s">
        <v>3</v>
      </c>
      <c r="D21" s="1" t="s">
        <v>4</v>
      </c>
      <c r="F21" s="38" t="s">
        <v>5</v>
      </c>
      <c r="G21" s="37"/>
      <c r="I21" s="1" t="s">
        <v>1</v>
      </c>
      <c r="J21" s="1" t="s">
        <v>2</v>
      </c>
      <c r="K21" s="1" t="s">
        <v>3</v>
      </c>
      <c r="L21" s="1" t="s">
        <v>4</v>
      </c>
      <c r="N21" s="38" t="s">
        <v>5</v>
      </c>
      <c r="O21" s="37"/>
    </row>
    <row r="22" spans="1:15" x14ac:dyDescent="0.2">
      <c r="A22" s="2" t="s">
        <v>6</v>
      </c>
      <c r="B22" s="3">
        <v>40.4</v>
      </c>
      <c r="C22" s="3">
        <v>43.6</v>
      </c>
      <c r="D22" s="3">
        <v>43.5</v>
      </c>
      <c r="F22" s="2" t="s">
        <v>7</v>
      </c>
      <c r="G22" s="4">
        <f>AVERAGE(B22:D24)</f>
        <v>42.877777777777773</v>
      </c>
      <c r="I22" s="2" t="s">
        <v>6</v>
      </c>
      <c r="J22" s="3">
        <v>305.2</v>
      </c>
      <c r="K22" s="3">
        <v>354.8</v>
      </c>
      <c r="L22" s="3">
        <v>300.39999999999998</v>
      </c>
      <c r="N22" s="2" t="s">
        <v>7</v>
      </c>
      <c r="O22" s="4">
        <f>AVERAGE(J22:L24)</f>
        <v>334.22222222222223</v>
      </c>
    </row>
    <row r="23" spans="1:15" x14ac:dyDescent="0.2">
      <c r="A23" s="2" t="s">
        <v>8</v>
      </c>
      <c r="B23" s="3">
        <v>43.1</v>
      </c>
      <c r="C23" s="3">
        <v>44</v>
      </c>
      <c r="D23" s="3">
        <v>43.3</v>
      </c>
      <c r="F23" s="2" t="s">
        <v>9</v>
      </c>
      <c r="G23" s="4">
        <f>MIN(B22:D24)</f>
        <v>40.4</v>
      </c>
      <c r="I23" s="2" t="s">
        <v>8</v>
      </c>
      <c r="J23" s="3">
        <v>312.89999999999998</v>
      </c>
      <c r="K23" s="3">
        <v>384.3</v>
      </c>
      <c r="L23" s="3">
        <v>358.5</v>
      </c>
      <c r="N23" s="2" t="s">
        <v>9</v>
      </c>
      <c r="O23" s="4">
        <f>MIN(J22:L24)</f>
        <v>300.39999999999998</v>
      </c>
    </row>
    <row r="24" spans="1:15" x14ac:dyDescent="0.2">
      <c r="A24" s="2" t="s">
        <v>10</v>
      </c>
      <c r="B24" s="3">
        <v>40.5</v>
      </c>
      <c r="C24" s="3">
        <v>44.2</v>
      </c>
      <c r="D24" s="3">
        <v>43.3</v>
      </c>
      <c r="F24" s="2" t="s">
        <v>11</v>
      </c>
      <c r="G24" s="4">
        <f>MAX(B22:D24)</f>
        <v>44.2</v>
      </c>
      <c r="I24" s="2" t="s">
        <v>10</v>
      </c>
      <c r="J24" s="3">
        <v>308.5</v>
      </c>
      <c r="K24" s="3">
        <v>362.5</v>
      </c>
      <c r="L24" s="3">
        <v>320.89999999999998</v>
      </c>
      <c r="N24" s="2" t="s">
        <v>11</v>
      </c>
      <c r="O24" s="4">
        <f>MAX(J22:L24)</f>
        <v>384.3</v>
      </c>
    </row>
    <row r="25" spans="1:15" x14ac:dyDescent="0.2">
      <c r="F25" s="2" t="s">
        <v>12</v>
      </c>
      <c r="G25" s="4">
        <f>G24-G23</f>
        <v>3.8000000000000043</v>
      </c>
      <c r="N25" s="2" t="s">
        <v>12</v>
      </c>
      <c r="O25" s="4">
        <f>O24-O23</f>
        <v>83.900000000000034</v>
      </c>
    </row>
    <row r="26" spans="1:15" x14ac:dyDescent="0.2">
      <c r="A26" s="5" t="s">
        <v>13</v>
      </c>
      <c r="F26" s="12" t="s">
        <v>67</v>
      </c>
      <c r="G26" s="13">
        <f>_xlfn.STDEV.S(B22:D24)</f>
        <v>1.4193112570695852</v>
      </c>
      <c r="N26" s="12" t="s">
        <v>66</v>
      </c>
      <c r="O26" s="13">
        <f>((MAX(J22:L24)-MIN(J22:L24))/(MAX(J22:L24)+MIN(J22:L24)))*100</f>
        <v>12.253541697093622</v>
      </c>
    </row>
    <row r="27" spans="1:15" x14ac:dyDescent="0.2">
      <c r="A27" s="6" t="s">
        <v>14</v>
      </c>
      <c r="C27" s="34" t="s">
        <v>97</v>
      </c>
      <c r="D27" s="35"/>
      <c r="E27" s="35"/>
      <c r="F27" s="35"/>
      <c r="G27" s="35"/>
    </row>
    <row r="28" spans="1:15" x14ac:dyDescent="0.2">
      <c r="A28" s="6" t="s">
        <v>16</v>
      </c>
      <c r="C28" s="34" t="s">
        <v>95</v>
      </c>
      <c r="D28" s="35"/>
      <c r="E28" s="35"/>
      <c r="F28" s="35"/>
      <c r="G28" s="35"/>
    </row>
    <row r="29" spans="1:15" x14ac:dyDescent="0.2">
      <c r="A29" s="6" t="s">
        <v>18</v>
      </c>
      <c r="C29" s="34" t="s">
        <v>53</v>
      </c>
      <c r="D29" s="35"/>
      <c r="E29" s="35"/>
      <c r="F29" s="35"/>
      <c r="G29" s="35"/>
    </row>
    <row r="30" spans="1:15" x14ac:dyDescent="0.2">
      <c r="A30" s="6" t="s">
        <v>19</v>
      </c>
      <c r="C30" s="34" t="s">
        <v>92</v>
      </c>
      <c r="D30" s="35"/>
      <c r="E30" s="35"/>
      <c r="F30" s="35"/>
      <c r="G30" s="35"/>
    </row>
  </sheetData>
  <mergeCells count="16">
    <mergeCell ref="C27:G27"/>
    <mergeCell ref="C28:G28"/>
    <mergeCell ref="C29:G29"/>
    <mergeCell ref="C30:G30"/>
    <mergeCell ref="C15:G15"/>
    <mergeCell ref="C16:G16"/>
    <mergeCell ref="A20:D20"/>
    <mergeCell ref="I20:L20"/>
    <mergeCell ref="F21:G21"/>
    <mergeCell ref="N21:O21"/>
    <mergeCell ref="A6:D6"/>
    <mergeCell ref="I6:L6"/>
    <mergeCell ref="F7:G7"/>
    <mergeCell ref="N7:O7"/>
    <mergeCell ref="C13:G13"/>
    <mergeCell ref="C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6F4E-B8C1-2148-9462-C6312B0132F5}">
  <dimension ref="A1:O58"/>
  <sheetViews>
    <sheetView topLeftCell="A26" workbookViewId="0">
      <selection activeCell="A54" sqref="A54:XFD54"/>
    </sheetView>
  </sheetViews>
  <sheetFormatPr baseColWidth="10" defaultRowHeight="15" x14ac:dyDescent="0.2"/>
  <sheetData>
    <row r="1" spans="1:15" ht="26" x14ac:dyDescent="0.3">
      <c r="A1" s="28" t="s">
        <v>102</v>
      </c>
    </row>
    <row r="4" spans="1:15" ht="2" customHeight="1" x14ac:dyDescent="0.2">
      <c r="A4" s="27"/>
    </row>
    <row r="5" spans="1:15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</row>
    <row r="6" spans="1:15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</row>
    <row r="7" spans="1:15" x14ac:dyDescent="0.2">
      <c r="A7" s="2" t="s">
        <v>6</v>
      </c>
      <c r="B7" s="3">
        <v>34.200000000000003</v>
      </c>
      <c r="C7" s="3">
        <v>36</v>
      </c>
      <c r="D7" s="3">
        <v>36.4</v>
      </c>
      <c r="F7" s="2" t="s">
        <v>7</v>
      </c>
      <c r="G7" s="4">
        <f>AVERAGE(B7:D9)</f>
        <v>36.222222222222221</v>
      </c>
      <c r="I7" s="2" t="s">
        <v>6</v>
      </c>
      <c r="J7" s="3">
        <v>181</v>
      </c>
      <c r="K7" s="3">
        <v>203.9</v>
      </c>
      <c r="L7" s="3">
        <v>202.2</v>
      </c>
      <c r="N7" s="2" t="s">
        <v>7</v>
      </c>
      <c r="O7" s="4">
        <f>AVERAGE(J7:L9)</f>
        <v>208.24444444444441</v>
      </c>
    </row>
    <row r="8" spans="1:15" x14ac:dyDescent="0.2">
      <c r="A8" s="2" t="s">
        <v>8</v>
      </c>
      <c r="B8" s="3">
        <v>35.9</v>
      </c>
      <c r="C8" s="3">
        <v>36.700000000000003</v>
      </c>
      <c r="D8" s="3">
        <v>37</v>
      </c>
      <c r="F8" s="2" t="s">
        <v>9</v>
      </c>
      <c r="G8" s="4">
        <f>MIN(B7:D9)</f>
        <v>34.200000000000003</v>
      </c>
      <c r="I8" s="2" t="s">
        <v>8</v>
      </c>
      <c r="J8" s="3">
        <v>204.6</v>
      </c>
      <c r="K8" s="3">
        <v>229.7</v>
      </c>
      <c r="L8" s="3">
        <v>229.2</v>
      </c>
      <c r="N8" s="2" t="s">
        <v>9</v>
      </c>
      <c r="O8" s="4">
        <f>MIN(J7:L9)</f>
        <v>181</v>
      </c>
    </row>
    <row r="9" spans="1:15" x14ac:dyDescent="0.2">
      <c r="A9" s="2" t="s">
        <v>10</v>
      </c>
      <c r="B9" s="3">
        <v>36.200000000000003</v>
      </c>
      <c r="C9" s="3">
        <v>37</v>
      </c>
      <c r="D9" s="3">
        <v>36.6</v>
      </c>
      <c r="F9" s="2" t="s">
        <v>11</v>
      </c>
      <c r="G9" s="4">
        <f>MAX(B7:D9)</f>
        <v>37</v>
      </c>
      <c r="I9" s="2" t="s">
        <v>10</v>
      </c>
      <c r="J9" s="3">
        <v>198</v>
      </c>
      <c r="K9" s="3">
        <v>215.1</v>
      </c>
      <c r="L9" s="3">
        <v>210.5</v>
      </c>
      <c r="N9" s="2" t="s">
        <v>11</v>
      </c>
      <c r="O9" s="4">
        <f>MAX(J7:L9)</f>
        <v>229.7</v>
      </c>
    </row>
    <row r="10" spans="1:15" x14ac:dyDescent="0.2">
      <c r="F10" s="2" t="s">
        <v>12</v>
      </c>
      <c r="G10" s="4">
        <f>G9-G8</f>
        <v>2.7999999999999972</v>
      </c>
      <c r="N10" s="2" t="s">
        <v>12</v>
      </c>
      <c r="O10" s="4">
        <f>O9-O8</f>
        <v>48.699999999999989</v>
      </c>
    </row>
    <row r="11" spans="1:15" x14ac:dyDescent="0.2">
      <c r="A11" s="5" t="s">
        <v>13</v>
      </c>
      <c r="F11" s="12" t="s">
        <v>67</v>
      </c>
      <c r="G11" s="13">
        <f>_xlfn.STDEV.S(B7:D9)</f>
        <v>0.85553751784737264</v>
      </c>
      <c r="N11" s="12" t="s">
        <v>66</v>
      </c>
      <c r="O11" s="13">
        <f>((MAX(J7:L9)-MIN(J7:L9))/(MAX(J7:L9)+MIN(J7:L9)))*100</f>
        <v>11.857803749695639</v>
      </c>
    </row>
    <row r="12" spans="1:15" x14ac:dyDescent="0.2">
      <c r="A12" s="6" t="s">
        <v>14</v>
      </c>
      <c r="C12" s="34" t="s">
        <v>97</v>
      </c>
      <c r="D12" s="35"/>
      <c r="E12" s="35"/>
      <c r="F12" s="35"/>
      <c r="G12" s="35"/>
    </row>
    <row r="13" spans="1:15" x14ac:dyDescent="0.2">
      <c r="A13" s="6" t="s">
        <v>16</v>
      </c>
      <c r="C13" s="34" t="s">
        <v>104</v>
      </c>
      <c r="D13" s="35"/>
      <c r="E13" s="35"/>
      <c r="F13" s="35"/>
      <c r="G13" s="35"/>
    </row>
    <row r="14" spans="1:15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15" x14ac:dyDescent="0.2">
      <c r="A15" s="6" t="s">
        <v>19</v>
      </c>
      <c r="C15" s="34" t="s">
        <v>103</v>
      </c>
      <c r="D15" s="35"/>
      <c r="E15" s="35"/>
      <c r="F15" s="35"/>
      <c r="G15" s="35"/>
    </row>
    <row r="18" spans="1:15" x14ac:dyDescent="0.2">
      <c r="A18" s="27"/>
    </row>
    <row r="19" spans="1:15" x14ac:dyDescent="0.2">
      <c r="A19" s="36" t="s">
        <v>20</v>
      </c>
      <c r="B19" s="37"/>
      <c r="C19" s="37"/>
      <c r="D19" s="37"/>
      <c r="I19" s="36" t="s">
        <v>21</v>
      </c>
      <c r="J19" s="37"/>
      <c r="K19" s="37"/>
      <c r="L19" s="37"/>
    </row>
    <row r="20" spans="1:15" x14ac:dyDescent="0.2">
      <c r="A20" s="1" t="s">
        <v>1</v>
      </c>
      <c r="B20" s="1" t="s">
        <v>2</v>
      </c>
      <c r="C20" s="1" t="s">
        <v>3</v>
      </c>
      <c r="D20" s="1" t="s">
        <v>4</v>
      </c>
      <c r="F20" s="38" t="s">
        <v>5</v>
      </c>
      <c r="G20" s="37"/>
      <c r="I20" s="1" t="s">
        <v>1</v>
      </c>
      <c r="J20" s="1" t="s">
        <v>2</v>
      </c>
      <c r="K20" s="1" t="s">
        <v>3</v>
      </c>
      <c r="L20" s="1" t="s">
        <v>4</v>
      </c>
      <c r="N20" s="38" t="s">
        <v>5</v>
      </c>
      <c r="O20" s="37"/>
    </row>
    <row r="21" spans="1:15" x14ac:dyDescent="0.2">
      <c r="A21" s="2" t="s">
        <v>6</v>
      </c>
      <c r="B21" s="3">
        <v>38.6</v>
      </c>
      <c r="C21" s="3">
        <v>40.700000000000003</v>
      </c>
      <c r="D21" s="3">
        <v>41.4</v>
      </c>
      <c r="F21" s="2" t="s">
        <v>7</v>
      </c>
      <c r="G21" s="4">
        <f>AVERAGE(B21:D23)</f>
        <v>41.111111111111114</v>
      </c>
      <c r="I21" s="2" t="s">
        <v>6</v>
      </c>
      <c r="J21" s="3">
        <v>281.89999999999998</v>
      </c>
      <c r="K21" s="3">
        <v>321.10000000000002</v>
      </c>
      <c r="L21" s="3">
        <v>315.60000000000002</v>
      </c>
      <c r="N21" s="2" t="s">
        <v>7</v>
      </c>
      <c r="O21" s="4">
        <f>AVERAGE(J21:L23)</f>
        <v>322.07777777777778</v>
      </c>
    </row>
    <row r="22" spans="1:15" x14ac:dyDescent="0.2">
      <c r="A22" s="2" t="s">
        <v>8</v>
      </c>
      <c r="B22" s="3">
        <v>42.8</v>
      </c>
      <c r="C22" s="3">
        <v>42</v>
      </c>
      <c r="D22" s="3">
        <v>42.1</v>
      </c>
      <c r="F22" s="2" t="s">
        <v>9</v>
      </c>
      <c r="G22" s="4">
        <f>MIN(B21:D23)</f>
        <v>38.6</v>
      </c>
      <c r="I22" s="2" t="s">
        <v>8</v>
      </c>
      <c r="J22" s="3">
        <v>321.8</v>
      </c>
      <c r="K22" s="3">
        <v>353.3</v>
      </c>
      <c r="L22" s="3">
        <v>351.5</v>
      </c>
      <c r="N22" s="2" t="s">
        <v>9</v>
      </c>
      <c r="O22" s="4">
        <f>MIN(J21:L23)</f>
        <v>281.89999999999998</v>
      </c>
    </row>
    <row r="23" spans="1:15" x14ac:dyDescent="0.2">
      <c r="A23" s="2" t="s">
        <v>10</v>
      </c>
      <c r="B23" s="3">
        <v>39.6</v>
      </c>
      <c r="C23" s="3">
        <v>41.5</v>
      </c>
      <c r="D23" s="3">
        <v>41.3</v>
      </c>
      <c r="F23" s="2" t="s">
        <v>11</v>
      </c>
      <c r="G23" s="4">
        <f>MAX(B21:D23)</f>
        <v>42.8</v>
      </c>
      <c r="I23" s="2" t="s">
        <v>10</v>
      </c>
      <c r="J23" s="3">
        <v>303.7</v>
      </c>
      <c r="K23" s="3">
        <v>326.2</v>
      </c>
      <c r="L23" s="3">
        <v>323.60000000000002</v>
      </c>
      <c r="N23" s="2" t="s">
        <v>11</v>
      </c>
      <c r="O23" s="4">
        <f>MAX(J21:L23)</f>
        <v>353.3</v>
      </c>
    </row>
    <row r="24" spans="1:15" x14ac:dyDescent="0.2">
      <c r="F24" s="2" t="s">
        <v>12</v>
      </c>
      <c r="G24" s="4">
        <f>G23-G22</f>
        <v>4.1999999999999957</v>
      </c>
      <c r="N24" s="2" t="s">
        <v>12</v>
      </c>
      <c r="O24" s="4">
        <f>O23-O22</f>
        <v>71.400000000000034</v>
      </c>
    </row>
    <row r="25" spans="1:15" x14ac:dyDescent="0.2">
      <c r="A25" s="5" t="s">
        <v>13</v>
      </c>
      <c r="F25" s="12" t="s">
        <v>67</v>
      </c>
      <c r="G25" s="13">
        <f>_xlfn.STDEV.S(B21:D23)</f>
        <v>1.3061818828597755</v>
      </c>
      <c r="N25" s="12" t="s">
        <v>66</v>
      </c>
      <c r="O25" s="13">
        <f>((MAX(J21:L23)-MIN(J21:L23))/(MAX(J21:L23)+MIN(J21:L23)))*100</f>
        <v>11.240554156171289</v>
      </c>
    </row>
    <row r="26" spans="1:15" x14ac:dyDescent="0.2">
      <c r="A26" s="6" t="s">
        <v>14</v>
      </c>
      <c r="C26" s="34" t="s">
        <v>105</v>
      </c>
      <c r="D26" s="35"/>
      <c r="E26" s="35"/>
      <c r="F26" s="35"/>
      <c r="G26" s="35"/>
    </row>
    <row r="27" spans="1:15" x14ac:dyDescent="0.2">
      <c r="A27" s="6" t="s">
        <v>16</v>
      </c>
      <c r="C27" s="34" t="s">
        <v>106</v>
      </c>
      <c r="D27" s="35"/>
      <c r="E27" s="35"/>
      <c r="F27" s="35"/>
      <c r="G27" s="35"/>
    </row>
    <row r="28" spans="1:15" x14ac:dyDescent="0.2">
      <c r="A28" s="6" t="s">
        <v>18</v>
      </c>
      <c r="C28" s="34" t="s">
        <v>53</v>
      </c>
      <c r="D28" s="35"/>
      <c r="E28" s="35"/>
      <c r="F28" s="35"/>
      <c r="G28" s="35"/>
    </row>
    <row r="29" spans="1:15" x14ac:dyDescent="0.2">
      <c r="A29" s="6" t="s">
        <v>19</v>
      </c>
      <c r="C29" s="34" t="s">
        <v>103</v>
      </c>
      <c r="D29" s="35"/>
      <c r="E29" s="35"/>
      <c r="F29" s="35"/>
      <c r="G29" s="35"/>
    </row>
    <row r="33" spans="1:15" x14ac:dyDescent="0.2">
      <c r="A33" s="27"/>
    </row>
    <row r="34" spans="1:15" x14ac:dyDescent="0.2">
      <c r="A34" s="36" t="s">
        <v>20</v>
      </c>
      <c r="B34" s="37"/>
      <c r="C34" s="37"/>
      <c r="D34" s="37"/>
      <c r="I34" s="36" t="s">
        <v>21</v>
      </c>
      <c r="J34" s="37"/>
      <c r="K34" s="37"/>
      <c r="L34" s="37"/>
    </row>
    <row r="35" spans="1:15" x14ac:dyDescent="0.2">
      <c r="A35" s="1" t="s">
        <v>1</v>
      </c>
      <c r="B35" s="1" t="s">
        <v>2</v>
      </c>
      <c r="C35" s="1" t="s">
        <v>3</v>
      </c>
      <c r="D35" s="1" t="s">
        <v>4</v>
      </c>
      <c r="F35" s="38" t="s">
        <v>5</v>
      </c>
      <c r="G35" s="37"/>
      <c r="I35" s="1" t="s">
        <v>1</v>
      </c>
      <c r="J35" s="1" t="s">
        <v>2</v>
      </c>
      <c r="K35" s="1" t="s">
        <v>3</v>
      </c>
      <c r="L35" s="1" t="s">
        <v>4</v>
      </c>
      <c r="N35" s="38" t="s">
        <v>5</v>
      </c>
      <c r="O35" s="37"/>
    </row>
    <row r="36" spans="1:15" x14ac:dyDescent="0.2">
      <c r="A36" s="2" t="s">
        <v>6</v>
      </c>
      <c r="B36" s="3">
        <v>41.2</v>
      </c>
      <c r="C36" s="3">
        <v>43.3</v>
      </c>
      <c r="D36" s="3">
        <v>45.2</v>
      </c>
      <c r="F36" s="2" t="s">
        <v>7</v>
      </c>
      <c r="G36" s="4">
        <f>AVERAGE(B36:D38)</f>
        <v>45.033333333333331</v>
      </c>
      <c r="I36" s="2" t="s">
        <v>6</v>
      </c>
      <c r="J36" s="3">
        <v>335.4</v>
      </c>
      <c r="K36" s="3">
        <v>401.5</v>
      </c>
      <c r="L36" s="3">
        <v>380.3</v>
      </c>
      <c r="N36" s="2" t="s">
        <v>7</v>
      </c>
      <c r="O36" s="4">
        <f>AVERAGE(J36:L38)</f>
        <v>398.5333333333333</v>
      </c>
    </row>
    <row r="37" spans="1:15" x14ac:dyDescent="0.2">
      <c r="A37" s="2" t="s">
        <v>8</v>
      </c>
      <c r="B37" s="3">
        <v>44</v>
      </c>
      <c r="C37" s="3">
        <v>46.3</v>
      </c>
      <c r="D37" s="3">
        <v>46.6</v>
      </c>
      <c r="F37" s="2" t="s">
        <v>9</v>
      </c>
      <c r="G37" s="4">
        <f>MIN(B36:D38)</f>
        <v>41.2</v>
      </c>
      <c r="I37" s="2" t="s">
        <v>8</v>
      </c>
      <c r="J37" s="3">
        <v>402.2</v>
      </c>
      <c r="K37" s="3">
        <v>443.1</v>
      </c>
      <c r="L37" s="3">
        <v>439.4</v>
      </c>
      <c r="N37" s="2" t="s">
        <v>9</v>
      </c>
      <c r="O37" s="4">
        <f>MIN(J36:L38)</f>
        <v>335.4</v>
      </c>
    </row>
    <row r="38" spans="1:15" x14ac:dyDescent="0.2">
      <c r="A38" s="2" t="s">
        <v>10</v>
      </c>
      <c r="B38" s="3">
        <v>46</v>
      </c>
      <c r="C38" s="3">
        <v>46.5</v>
      </c>
      <c r="D38" s="3">
        <v>46.2</v>
      </c>
      <c r="F38" s="2" t="s">
        <v>11</v>
      </c>
      <c r="G38" s="4">
        <f>MAX(B36:D38)</f>
        <v>46.6</v>
      </c>
      <c r="I38" s="2" t="s">
        <v>10</v>
      </c>
      <c r="J38" s="3">
        <v>379</v>
      </c>
      <c r="K38" s="3">
        <v>402.2</v>
      </c>
      <c r="L38" s="3">
        <v>403.7</v>
      </c>
      <c r="N38" s="2" t="s">
        <v>11</v>
      </c>
      <c r="O38" s="4">
        <f>MAX(J36:L38)</f>
        <v>443.1</v>
      </c>
    </row>
    <row r="39" spans="1:15" x14ac:dyDescent="0.2">
      <c r="F39" s="2" t="s">
        <v>12</v>
      </c>
      <c r="G39" s="4">
        <f>G38-G37</f>
        <v>5.3999999999999986</v>
      </c>
      <c r="N39" s="2" t="s">
        <v>12</v>
      </c>
      <c r="O39" s="4">
        <f>O38-O37</f>
        <v>107.70000000000005</v>
      </c>
    </row>
    <row r="40" spans="1:15" x14ac:dyDescent="0.2">
      <c r="A40" s="5" t="s">
        <v>13</v>
      </c>
      <c r="F40" s="12" t="s">
        <v>67</v>
      </c>
      <c r="G40" s="13">
        <f>_xlfn.STDEV.S(B36:D38)</f>
        <v>1.8472953201911164</v>
      </c>
      <c r="N40" s="12" t="s">
        <v>66</v>
      </c>
      <c r="O40" s="13">
        <f>((MAX(J36:L38)-MIN(J36:L38))/(MAX(J36:L38)+MIN(J36:L38)))*100</f>
        <v>13.834296724470141</v>
      </c>
    </row>
    <row r="41" spans="1:15" x14ac:dyDescent="0.2">
      <c r="A41" s="6" t="s">
        <v>14</v>
      </c>
      <c r="C41" s="34" t="s">
        <v>107</v>
      </c>
      <c r="D41" s="35"/>
      <c r="E41" s="35"/>
      <c r="F41" s="35"/>
      <c r="G41" s="35"/>
    </row>
    <row r="42" spans="1:15" x14ac:dyDescent="0.2">
      <c r="A42" s="6" t="s">
        <v>16</v>
      </c>
      <c r="C42" s="34" t="s">
        <v>93</v>
      </c>
      <c r="D42" s="35"/>
      <c r="E42" s="35"/>
      <c r="F42" s="35"/>
      <c r="G42" s="35"/>
    </row>
    <row r="43" spans="1:15" x14ac:dyDescent="0.2">
      <c r="A43" s="6" t="s">
        <v>18</v>
      </c>
      <c r="C43" s="34" t="s">
        <v>53</v>
      </c>
      <c r="D43" s="35"/>
      <c r="E43" s="35"/>
      <c r="F43" s="35"/>
      <c r="G43" s="35"/>
    </row>
    <row r="44" spans="1:15" x14ac:dyDescent="0.2">
      <c r="A44" s="6" t="s">
        <v>19</v>
      </c>
      <c r="C44" s="34" t="s">
        <v>103</v>
      </c>
      <c r="D44" s="35"/>
      <c r="E44" s="35"/>
      <c r="F44" s="35"/>
      <c r="G44" s="35"/>
    </row>
    <row r="47" spans="1:15" x14ac:dyDescent="0.2">
      <c r="A47" s="27"/>
    </row>
    <row r="48" spans="1:15" x14ac:dyDescent="0.2">
      <c r="A48" s="36" t="s">
        <v>20</v>
      </c>
      <c r="B48" s="37"/>
      <c r="C48" s="37"/>
      <c r="D48" s="37"/>
      <c r="I48" s="36" t="s">
        <v>21</v>
      </c>
      <c r="J48" s="37"/>
      <c r="K48" s="37"/>
      <c r="L48" s="37"/>
    </row>
    <row r="49" spans="1:15" x14ac:dyDescent="0.2">
      <c r="A49" s="1" t="s">
        <v>1</v>
      </c>
      <c r="B49" s="1" t="s">
        <v>2</v>
      </c>
      <c r="C49" s="1" t="s">
        <v>3</v>
      </c>
      <c r="D49" s="1" t="s">
        <v>4</v>
      </c>
      <c r="F49" s="38" t="s">
        <v>5</v>
      </c>
      <c r="G49" s="37"/>
      <c r="I49" s="1" t="s">
        <v>1</v>
      </c>
      <c r="J49" s="1" t="s">
        <v>2</v>
      </c>
      <c r="K49" s="1" t="s">
        <v>3</v>
      </c>
      <c r="L49" s="1" t="s">
        <v>4</v>
      </c>
      <c r="N49" s="38" t="s">
        <v>5</v>
      </c>
      <c r="O49" s="37"/>
    </row>
    <row r="50" spans="1:15" x14ac:dyDescent="0.2">
      <c r="A50" s="2" t="s">
        <v>6</v>
      </c>
      <c r="B50" s="3">
        <v>44.6</v>
      </c>
      <c r="C50" s="3">
        <v>47.2</v>
      </c>
      <c r="D50" s="3">
        <v>47</v>
      </c>
      <c r="F50" s="2" t="s">
        <v>7</v>
      </c>
      <c r="G50" s="4">
        <f>AVERAGE(B50:D52)</f>
        <v>48.944444444444443</v>
      </c>
      <c r="I50" s="2" t="s">
        <v>6</v>
      </c>
      <c r="J50" s="3">
        <v>440.5</v>
      </c>
      <c r="K50" s="3">
        <v>514</v>
      </c>
      <c r="L50" s="3">
        <v>510.1</v>
      </c>
      <c r="N50" s="2" t="s">
        <v>7</v>
      </c>
      <c r="O50" s="4">
        <f>AVERAGE(J50:L52)</f>
        <v>522.63333333333333</v>
      </c>
    </row>
    <row r="51" spans="1:15" x14ac:dyDescent="0.2">
      <c r="A51" s="2" t="s">
        <v>8</v>
      </c>
      <c r="B51" s="3">
        <v>50.9</v>
      </c>
      <c r="C51" s="3">
        <v>51.1</v>
      </c>
      <c r="D51" s="3">
        <v>50.8</v>
      </c>
      <c r="F51" s="2" t="s">
        <v>9</v>
      </c>
      <c r="G51" s="4">
        <f>MIN(B50:D52)</f>
        <v>44.6</v>
      </c>
      <c r="I51" s="2" t="s">
        <v>8</v>
      </c>
      <c r="J51" s="3">
        <v>533</v>
      </c>
      <c r="K51" s="3">
        <v>580.6</v>
      </c>
      <c r="L51" s="3">
        <v>564</v>
      </c>
      <c r="N51" s="2" t="s">
        <v>9</v>
      </c>
      <c r="O51" s="4">
        <f>MIN(J50:L52)</f>
        <v>440.5</v>
      </c>
    </row>
    <row r="52" spans="1:15" x14ac:dyDescent="0.2">
      <c r="A52" s="2" t="s">
        <v>10</v>
      </c>
      <c r="B52" s="3">
        <v>47.5</v>
      </c>
      <c r="C52" s="3">
        <v>50</v>
      </c>
      <c r="D52" s="3">
        <v>51.4</v>
      </c>
      <c r="F52" s="2" t="s">
        <v>11</v>
      </c>
      <c r="G52" s="4">
        <f>MAX(B50:D52)</f>
        <v>51.4</v>
      </c>
      <c r="I52" s="2" t="s">
        <v>10</v>
      </c>
      <c r="J52" s="3">
        <v>503.9</v>
      </c>
      <c r="K52" s="3">
        <v>531.20000000000005</v>
      </c>
      <c r="L52" s="3">
        <v>526.4</v>
      </c>
      <c r="N52" s="2" t="s">
        <v>11</v>
      </c>
      <c r="O52" s="4">
        <f>MAX(J50:L52)</f>
        <v>580.6</v>
      </c>
    </row>
    <row r="53" spans="1:15" x14ac:dyDescent="0.2">
      <c r="F53" s="2" t="s">
        <v>12</v>
      </c>
      <c r="G53" s="4">
        <f>G52-G51</f>
        <v>6.7999999999999972</v>
      </c>
      <c r="N53" s="2" t="s">
        <v>12</v>
      </c>
      <c r="O53" s="4">
        <f>O52-O51</f>
        <v>140.10000000000002</v>
      </c>
    </row>
    <row r="54" spans="1:15" x14ac:dyDescent="0.2">
      <c r="A54" s="5" t="s">
        <v>13</v>
      </c>
      <c r="F54" s="12" t="s">
        <v>67</v>
      </c>
      <c r="G54" s="13">
        <f>_xlfn.STDEV.S(B50:D52)</f>
        <v>2.4197681247957981</v>
      </c>
      <c r="N54" s="12" t="s">
        <v>66</v>
      </c>
      <c r="O54" s="13">
        <f>((MAX(J50:L52)-MIN(J50:L52))/(MAX(J50:L52)+MIN(J50:L52)))*100</f>
        <v>13.720497502693178</v>
      </c>
    </row>
    <row r="55" spans="1:15" x14ac:dyDescent="0.2">
      <c r="A55" s="6" t="s">
        <v>14</v>
      </c>
      <c r="C55" s="34" t="s">
        <v>108</v>
      </c>
      <c r="D55" s="35"/>
      <c r="E55" s="35"/>
      <c r="F55" s="35"/>
      <c r="G55" s="35"/>
    </row>
    <row r="56" spans="1:15" x14ac:dyDescent="0.2">
      <c r="A56" s="6" t="s">
        <v>16</v>
      </c>
      <c r="C56" s="34" t="s">
        <v>93</v>
      </c>
      <c r="D56" s="35"/>
      <c r="E56" s="35"/>
      <c r="F56" s="35"/>
      <c r="G56" s="35"/>
    </row>
    <row r="57" spans="1:15" x14ac:dyDescent="0.2">
      <c r="A57" s="6" t="s">
        <v>18</v>
      </c>
      <c r="C57" s="34" t="s">
        <v>53</v>
      </c>
      <c r="D57" s="35"/>
      <c r="E57" s="35"/>
      <c r="F57" s="35"/>
      <c r="G57" s="35"/>
    </row>
    <row r="58" spans="1:15" x14ac:dyDescent="0.2">
      <c r="A58" s="6" t="s">
        <v>19</v>
      </c>
      <c r="C58" s="34" t="s">
        <v>103</v>
      </c>
      <c r="D58" s="35"/>
      <c r="E58" s="35"/>
      <c r="F58" s="35"/>
      <c r="G58" s="35"/>
    </row>
  </sheetData>
  <mergeCells count="32">
    <mergeCell ref="C57:G57"/>
    <mergeCell ref="C58:G58"/>
    <mergeCell ref="A48:D48"/>
    <mergeCell ref="I48:L48"/>
    <mergeCell ref="F49:G49"/>
    <mergeCell ref="N49:O49"/>
    <mergeCell ref="C55:G55"/>
    <mergeCell ref="C56:G56"/>
    <mergeCell ref="F35:G35"/>
    <mergeCell ref="N35:O35"/>
    <mergeCell ref="C41:G41"/>
    <mergeCell ref="C42:G42"/>
    <mergeCell ref="C43:G43"/>
    <mergeCell ref="C44:G44"/>
    <mergeCell ref="I34:L34"/>
    <mergeCell ref="C14:G14"/>
    <mergeCell ref="C15:G15"/>
    <mergeCell ref="A19:D19"/>
    <mergeCell ref="I19:L19"/>
    <mergeCell ref="F20:G20"/>
    <mergeCell ref="C26:G26"/>
    <mergeCell ref="C27:G27"/>
    <mergeCell ref="C28:G28"/>
    <mergeCell ref="C29:G29"/>
    <mergeCell ref="A34:D34"/>
    <mergeCell ref="N20:O20"/>
    <mergeCell ref="A5:D5"/>
    <mergeCell ref="I5:L5"/>
    <mergeCell ref="F6:G6"/>
    <mergeCell ref="N6:O6"/>
    <mergeCell ref="C12:G12"/>
    <mergeCell ref="C13:G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7E37-01EC-834A-BAF9-594DB4C11CEB}">
  <dimension ref="A1:O67"/>
  <sheetViews>
    <sheetView topLeftCell="A3" workbookViewId="0">
      <selection activeCell="Q63" sqref="Q63"/>
    </sheetView>
  </sheetViews>
  <sheetFormatPr baseColWidth="10" defaultRowHeight="15" x14ac:dyDescent="0.2"/>
  <sheetData>
    <row r="1" spans="1:15" ht="26" x14ac:dyDescent="0.3">
      <c r="A1" s="29" t="s">
        <v>101</v>
      </c>
    </row>
    <row r="4" spans="1:15" x14ac:dyDescent="0.2">
      <c r="A4" s="27"/>
    </row>
    <row r="5" spans="1:15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</row>
    <row r="6" spans="1:15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</row>
    <row r="7" spans="1:15" x14ac:dyDescent="0.2">
      <c r="A7" s="2" t="s">
        <v>6</v>
      </c>
      <c r="B7" s="3">
        <v>30.2</v>
      </c>
      <c r="C7" s="3">
        <v>31.7</v>
      </c>
      <c r="D7" s="3">
        <v>31.5</v>
      </c>
      <c r="F7" s="2" t="s">
        <v>7</v>
      </c>
      <c r="G7" s="4">
        <f>AVERAGE(B7:D9)</f>
        <v>32.577777777777776</v>
      </c>
      <c r="I7" s="2" t="s">
        <v>6</v>
      </c>
      <c r="J7" s="3">
        <v>350</v>
      </c>
      <c r="K7" s="3">
        <v>403.5</v>
      </c>
      <c r="L7" s="3">
        <v>377.9</v>
      </c>
      <c r="N7" s="2" t="s">
        <v>7</v>
      </c>
      <c r="O7" s="4">
        <f>AVERAGE(J7:L9)</f>
        <v>394.71111111111111</v>
      </c>
    </row>
    <row r="8" spans="1:15" x14ac:dyDescent="0.2">
      <c r="A8" s="2" t="s">
        <v>8</v>
      </c>
      <c r="B8" s="3">
        <v>32.5</v>
      </c>
      <c r="C8" s="3">
        <v>33.5</v>
      </c>
      <c r="D8" s="3">
        <v>33.4</v>
      </c>
      <c r="F8" s="2" t="s">
        <v>9</v>
      </c>
      <c r="G8" s="4">
        <f>MIN(B7:D9)</f>
        <v>30.2</v>
      </c>
      <c r="I8" s="2" t="s">
        <v>8</v>
      </c>
      <c r="J8" s="3">
        <v>402.8</v>
      </c>
      <c r="K8" s="3">
        <v>444</v>
      </c>
      <c r="L8" s="3">
        <v>411.6</v>
      </c>
      <c r="N8" s="2" t="s">
        <v>9</v>
      </c>
      <c r="O8" s="4">
        <f>MIN(J7:L9)</f>
        <v>350</v>
      </c>
    </row>
    <row r="9" spans="1:15" x14ac:dyDescent="0.2">
      <c r="A9" s="2" t="s">
        <v>10</v>
      </c>
      <c r="B9" s="3">
        <v>32.299999999999997</v>
      </c>
      <c r="C9" s="3">
        <v>34.4</v>
      </c>
      <c r="D9" s="3">
        <v>33.700000000000003</v>
      </c>
      <c r="F9" s="2" t="s">
        <v>11</v>
      </c>
      <c r="G9" s="4">
        <f>MAX(B7:D9)</f>
        <v>34.4</v>
      </c>
      <c r="I9" s="2" t="s">
        <v>10</v>
      </c>
      <c r="J9" s="3">
        <v>378.6</v>
      </c>
      <c r="K9" s="3">
        <v>403</v>
      </c>
      <c r="L9" s="3">
        <v>381</v>
      </c>
      <c r="N9" s="2" t="s">
        <v>11</v>
      </c>
      <c r="O9" s="4">
        <f>MAX(J7:L9)</f>
        <v>444</v>
      </c>
    </row>
    <row r="10" spans="1:15" x14ac:dyDescent="0.2">
      <c r="F10" s="2" t="s">
        <v>12</v>
      </c>
      <c r="G10" s="4">
        <f>G9-G8</f>
        <v>4.1999999999999993</v>
      </c>
      <c r="N10" s="2" t="s">
        <v>12</v>
      </c>
      <c r="O10" s="4">
        <f>O9-O8</f>
        <v>94</v>
      </c>
    </row>
    <row r="11" spans="1:15" x14ac:dyDescent="0.2">
      <c r="A11" s="5" t="s">
        <v>13</v>
      </c>
      <c r="F11" s="12" t="s">
        <v>67</v>
      </c>
      <c r="G11" s="13">
        <f>_xlfn.STDEV.S(B7:D9)</f>
        <v>1.3122288079616469</v>
      </c>
      <c r="N11" s="12" t="s">
        <v>66</v>
      </c>
      <c r="O11" s="13">
        <f>((MAX(J7:L9)-MIN(J7:L9))/(MAX(J7:L9)+MIN(J7:L9)))*100</f>
        <v>11.838790931989925</v>
      </c>
    </row>
    <row r="12" spans="1:15" x14ac:dyDescent="0.2">
      <c r="A12" s="6" t="s">
        <v>14</v>
      </c>
      <c r="C12" s="34" t="s">
        <v>107</v>
      </c>
      <c r="D12" s="35"/>
      <c r="E12" s="35"/>
      <c r="F12" s="35"/>
      <c r="G12" s="35"/>
    </row>
    <row r="13" spans="1:15" x14ac:dyDescent="0.2">
      <c r="A13" s="6" t="s">
        <v>16</v>
      </c>
      <c r="C13" s="34" t="s">
        <v>110</v>
      </c>
      <c r="D13" s="35"/>
      <c r="E13" s="35"/>
      <c r="F13" s="35"/>
      <c r="G13" s="35"/>
    </row>
    <row r="14" spans="1:15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15" x14ac:dyDescent="0.2">
      <c r="A15" s="6" t="s">
        <v>19</v>
      </c>
      <c r="C15" s="34" t="s">
        <v>109</v>
      </c>
      <c r="D15" s="35"/>
      <c r="E15" s="35"/>
      <c r="F15" s="35"/>
      <c r="G15" s="35"/>
    </row>
    <row r="18" spans="1:15" x14ac:dyDescent="0.2">
      <c r="A18" s="27"/>
    </row>
    <row r="19" spans="1:15" x14ac:dyDescent="0.2">
      <c r="A19" s="36" t="s">
        <v>20</v>
      </c>
      <c r="B19" s="37"/>
      <c r="C19" s="37"/>
      <c r="D19" s="37"/>
      <c r="I19" s="36" t="s">
        <v>21</v>
      </c>
      <c r="J19" s="37"/>
      <c r="K19" s="37"/>
      <c r="L19" s="37"/>
    </row>
    <row r="20" spans="1:15" x14ac:dyDescent="0.2">
      <c r="A20" s="1" t="s">
        <v>1</v>
      </c>
      <c r="B20" s="1" t="s">
        <v>2</v>
      </c>
      <c r="C20" s="1" t="s">
        <v>3</v>
      </c>
      <c r="D20" s="1" t="s">
        <v>4</v>
      </c>
      <c r="F20" s="38" t="s">
        <v>5</v>
      </c>
      <c r="G20" s="37"/>
      <c r="I20" s="1" t="s">
        <v>1</v>
      </c>
      <c r="J20" s="1" t="s">
        <v>2</v>
      </c>
      <c r="K20" s="1" t="s">
        <v>3</v>
      </c>
      <c r="L20" s="1" t="s">
        <v>4</v>
      </c>
      <c r="N20" s="38" t="s">
        <v>5</v>
      </c>
      <c r="O20" s="37"/>
    </row>
    <row r="21" spans="1:15" x14ac:dyDescent="0.2">
      <c r="A21" s="2" t="s">
        <v>6</v>
      </c>
      <c r="B21" s="3">
        <v>40.4</v>
      </c>
      <c r="C21" s="3">
        <v>42.2</v>
      </c>
      <c r="D21" s="3">
        <v>43.5</v>
      </c>
      <c r="F21" s="2" t="s">
        <v>7</v>
      </c>
      <c r="G21" s="4">
        <f>AVERAGE(B21:D23)</f>
        <v>43.177777777777777</v>
      </c>
      <c r="I21" s="2" t="s">
        <v>6</v>
      </c>
      <c r="J21" s="3">
        <v>357.9</v>
      </c>
      <c r="K21" s="3">
        <v>416.2</v>
      </c>
      <c r="L21" s="3">
        <v>385</v>
      </c>
      <c r="N21" s="2" t="s">
        <v>7</v>
      </c>
      <c r="O21" s="4">
        <f>AVERAGE(J21:L23)</f>
        <v>402.31111111111107</v>
      </c>
    </row>
    <row r="22" spans="1:15" x14ac:dyDescent="0.2">
      <c r="A22" s="2" t="s">
        <v>8</v>
      </c>
      <c r="B22" s="3">
        <v>44</v>
      </c>
      <c r="C22" s="3">
        <v>44.5</v>
      </c>
      <c r="D22" s="3">
        <v>44.3</v>
      </c>
      <c r="F22" s="2" t="s">
        <v>9</v>
      </c>
      <c r="G22" s="4">
        <f>MIN(B21:D23)</f>
        <v>40.4</v>
      </c>
      <c r="I22" s="2" t="s">
        <v>8</v>
      </c>
      <c r="J22" s="3">
        <v>405.5</v>
      </c>
      <c r="K22" s="3">
        <v>450.4</v>
      </c>
      <c r="L22" s="3">
        <v>418.7</v>
      </c>
      <c r="N22" s="2" t="s">
        <v>9</v>
      </c>
      <c r="O22" s="4">
        <f>MIN(J21:L23)</f>
        <v>357.9</v>
      </c>
    </row>
    <row r="23" spans="1:15" x14ac:dyDescent="0.2">
      <c r="A23" s="2" t="s">
        <v>10</v>
      </c>
      <c r="B23" s="3">
        <v>42.4</v>
      </c>
      <c r="C23" s="3">
        <v>43.5</v>
      </c>
      <c r="D23" s="3">
        <v>43.8</v>
      </c>
      <c r="F23" s="2" t="s">
        <v>11</v>
      </c>
      <c r="G23" s="4">
        <f>MAX(B21:D23)</f>
        <v>44.5</v>
      </c>
      <c r="I23" s="2" t="s">
        <v>10</v>
      </c>
      <c r="J23" s="3">
        <v>385</v>
      </c>
      <c r="K23" s="3">
        <v>418.2</v>
      </c>
      <c r="L23" s="3">
        <v>383.9</v>
      </c>
      <c r="N23" s="2" t="s">
        <v>11</v>
      </c>
      <c r="O23" s="4">
        <f>MAX(J21:L23)</f>
        <v>450.4</v>
      </c>
    </row>
    <row r="24" spans="1:15" x14ac:dyDescent="0.2">
      <c r="F24" s="2" t="s">
        <v>12</v>
      </c>
      <c r="G24" s="4">
        <f>G23-G22</f>
        <v>4.1000000000000014</v>
      </c>
      <c r="N24" s="2" t="s">
        <v>12</v>
      </c>
      <c r="O24" s="4">
        <f>O23-O22</f>
        <v>92.5</v>
      </c>
    </row>
    <row r="25" spans="1:15" x14ac:dyDescent="0.2">
      <c r="A25" s="5" t="s">
        <v>13</v>
      </c>
      <c r="F25" s="12" t="s">
        <v>67</v>
      </c>
      <c r="G25" s="13">
        <f>_xlfn.STDEV.S(B21:D23)</f>
        <v>1.3017082793177754</v>
      </c>
      <c r="N25" s="12" t="s">
        <v>66</v>
      </c>
      <c r="O25" s="13">
        <f>((MAX(J21:L23)-MIN(J21:L23))/(MAX(J21:L23)+MIN(J21:L23)))*100</f>
        <v>11.443770877149575</v>
      </c>
    </row>
    <row r="26" spans="1:15" x14ac:dyDescent="0.2">
      <c r="A26" s="6" t="s">
        <v>14</v>
      </c>
      <c r="C26" s="34" t="s">
        <v>107</v>
      </c>
      <c r="D26" s="35"/>
      <c r="E26" s="35"/>
      <c r="F26" s="35"/>
      <c r="G26" s="35"/>
    </row>
    <row r="27" spans="1:15" x14ac:dyDescent="0.2">
      <c r="A27" s="6" t="s">
        <v>16</v>
      </c>
      <c r="C27" s="34" t="s">
        <v>104</v>
      </c>
      <c r="D27" s="35"/>
      <c r="E27" s="35"/>
      <c r="F27" s="35"/>
      <c r="G27" s="35"/>
    </row>
    <row r="28" spans="1:15" x14ac:dyDescent="0.2">
      <c r="A28" s="6" t="s">
        <v>18</v>
      </c>
      <c r="C28" s="34" t="s">
        <v>53</v>
      </c>
      <c r="D28" s="35"/>
      <c r="E28" s="35"/>
      <c r="F28" s="35"/>
      <c r="G28" s="35"/>
    </row>
    <row r="29" spans="1:15" x14ac:dyDescent="0.2">
      <c r="A29" s="6" t="s">
        <v>19</v>
      </c>
      <c r="C29" s="34" t="s">
        <v>109</v>
      </c>
      <c r="D29" s="35"/>
      <c r="E29" s="35"/>
      <c r="F29" s="35"/>
      <c r="G29" s="35"/>
    </row>
    <row r="31" spans="1:15" x14ac:dyDescent="0.2">
      <c r="A31" s="27"/>
    </row>
    <row r="32" spans="1:15" x14ac:dyDescent="0.2">
      <c r="A32" s="36" t="s">
        <v>20</v>
      </c>
      <c r="B32" s="37"/>
      <c r="C32" s="37"/>
      <c r="D32" s="37"/>
      <c r="I32" s="36" t="s">
        <v>21</v>
      </c>
      <c r="J32" s="37"/>
      <c r="K32" s="37"/>
      <c r="L32" s="37"/>
    </row>
    <row r="33" spans="1:15" x14ac:dyDescent="0.2">
      <c r="A33" s="1" t="s">
        <v>1</v>
      </c>
      <c r="B33" s="1" t="s">
        <v>2</v>
      </c>
      <c r="C33" s="1" t="s">
        <v>3</v>
      </c>
      <c r="D33" s="1" t="s">
        <v>4</v>
      </c>
      <c r="F33" s="38" t="s">
        <v>5</v>
      </c>
      <c r="G33" s="37"/>
      <c r="I33" s="1" t="s">
        <v>1</v>
      </c>
      <c r="J33" s="1" t="s">
        <v>2</v>
      </c>
      <c r="K33" s="1" t="s">
        <v>3</v>
      </c>
      <c r="L33" s="1" t="s">
        <v>4</v>
      </c>
      <c r="N33" s="38" t="s">
        <v>5</v>
      </c>
      <c r="O33" s="37"/>
    </row>
    <row r="34" spans="1:15" x14ac:dyDescent="0.2">
      <c r="A34" s="2" t="s">
        <v>6</v>
      </c>
      <c r="B34" s="3">
        <v>40.299999999999997</v>
      </c>
      <c r="C34" s="3">
        <v>43</v>
      </c>
      <c r="D34" s="3">
        <v>43.8</v>
      </c>
      <c r="F34" s="2" t="s">
        <v>7</v>
      </c>
      <c r="G34" s="4">
        <f>AVERAGE(B34:D36)</f>
        <v>43.288888888888891</v>
      </c>
      <c r="I34" s="2" t="s">
        <v>6</v>
      </c>
      <c r="J34" s="3">
        <v>350.2</v>
      </c>
      <c r="K34" s="3">
        <v>406.1</v>
      </c>
      <c r="L34" s="3">
        <v>377.9</v>
      </c>
      <c r="N34" s="2" t="s">
        <v>7</v>
      </c>
      <c r="O34" s="4">
        <f>AVERAGE(J34:L36)</f>
        <v>395.27777777777777</v>
      </c>
    </row>
    <row r="35" spans="1:15" x14ac:dyDescent="0.2">
      <c r="A35" s="2" t="s">
        <v>8</v>
      </c>
      <c r="B35" s="3">
        <v>44.8</v>
      </c>
      <c r="C35" s="3">
        <v>44.5</v>
      </c>
      <c r="D35" s="3">
        <v>44.5</v>
      </c>
      <c r="F35" s="2" t="s">
        <v>9</v>
      </c>
      <c r="G35" s="4">
        <f>MIN(B34:D36)</f>
        <v>40.299999999999997</v>
      </c>
      <c r="I35" s="2" t="s">
        <v>8</v>
      </c>
      <c r="J35" s="3">
        <v>402.2</v>
      </c>
      <c r="K35" s="3">
        <v>455.2</v>
      </c>
      <c r="L35" s="3">
        <v>417.4</v>
      </c>
      <c r="N35" s="2" t="s">
        <v>9</v>
      </c>
      <c r="O35" s="4">
        <f>MIN(J34:L36)</f>
        <v>350.2</v>
      </c>
    </row>
    <row r="36" spans="1:15" x14ac:dyDescent="0.2">
      <c r="A36" s="2" t="s">
        <v>10</v>
      </c>
      <c r="B36" s="3">
        <v>41.5</v>
      </c>
      <c r="C36" s="3">
        <v>43.6</v>
      </c>
      <c r="D36" s="3">
        <v>43.6</v>
      </c>
      <c r="F36" s="2" t="s">
        <v>11</v>
      </c>
      <c r="G36" s="4">
        <f>MAX(B34:D36)</f>
        <v>44.8</v>
      </c>
      <c r="I36" s="2" t="s">
        <v>10</v>
      </c>
      <c r="J36" s="3">
        <v>377</v>
      </c>
      <c r="K36" s="3">
        <v>393.6</v>
      </c>
      <c r="L36" s="3">
        <v>377.9</v>
      </c>
      <c r="N36" s="2" t="s">
        <v>11</v>
      </c>
      <c r="O36" s="4">
        <f>MAX(J34:L36)</f>
        <v>455.2</v>
      </c>
    </row>
    <row r="37" spans="1:15" x14ac:dyDescent="0.2">
      <c r="F37" s="2" t="s">
        <v>12</v>
      </c>
      <c r="G37" s="4">
        <f>G36-G35</f>
        <v>4.5</v>
      </c>
      <c r="N37" s="2" t="s">
        <v>12</v>
      </c>
      <c r="O37" s="4">
        <f>O36-O35</f>
        <v>105</v>
      </c>
    </row>
    <row r="38" spans="1:15" x14ac:dyDescent="0.2">
      <c r="A38" s="5" t="s">
        <v>13</v>
      </c>
      <c r="F38" s="12" t="s">
        <v>67</v>
      </c>
      <c r="G38" s="13">
        <f>_xlfn.STDEV.S(B34:D36)</f>
        <v>1.4953632037438636</v>
      </c>
      <c r="N38" s="12" t="s">
        <v>66</v>
      </c>
      <c r="O38" s="13">
        <f>((MAX(J34:L36)-MIN(J34:L36))/(MAX(J34:L36)+MIN(J34:L36)))*100</f>
        <v>13.037000248323816</v>
      </c>
    </row>
    <row r="39" spans="1:15" x14ac:dyDescent="0.2">
      <c r="A39" s="6" t="s">
        <v>14</v>
      </c>
      <c r="C39" s="34" t="s">
        <v>107</v>
      </c>
      <c r="D39" s="35"/>
      <c r="E39" s="35"/>
      <c r="F39" s="35"/>
      <c r="G39" s="35"/>
    </row>
    <row r="40" spans="1:15" x14ac:dyDescent="0.2">
      <c r="A40" s="6" t="s">
        <v>16</v>
      </c>
      <c r="C40" s="34" t="s">
        <v>104</v>
      </c>
      <c r="D40" s="35"/>
      <c r="E40" s="35"/>
      <c r="F40" s="35"/>
      <c r="G40" s="35"/>
    </row>
    <row r="41" spans="1:15" x14ac:dyDescent="0.2">
      <c r="A41" s="6" t="s">
        <v>18</v>
      </c>
      <c r="C41" s="34" t="s">
        <v>53</v>
      </c>
      <c r="D41" s="35"/>
      <c r="E41" s="35"/>
      <c r="F41" s="35"/>
      <c r="G41" s="35"/>
    </row>
    <row r="42" spans="1:15" x14ac:dyDescent="0.2">
      <c r="A42" s="6" t="s">
        <v>19</v>
      </c>
      <c r="C42" s="34" t="s">
        <v>109</v>
      </c>
      <c r="D42" s="35"/>
      <c r="E42" s="35"/>
      <c r="F42" s="35"/>
      <c r="G42" s="35"/>
    </row>
    <row r="43" spans="1:15" x14ac:dyDescent="0.2">
      <c r="A43" s="27"/>
    </row>
    <row r="44" spans="1:15" x14ac:dyDescent="0.2">
      <c r="A44" s="36" t="s">
        <v>20</v>
      </c>
      <c r="B44" s="37"/>
      <c r="C44" s="37"/>
      <c r="D44" s="37"/>
      <c r="I44" s="36" t="s">
        <v>21</v>
      </c>
      <c r="J44" s="37"/>
      <c r="K44" s="37"/>
      <c r="L44" s="37"/>
    </row>
    <row r="45" spans="1:15" x14ac:dyDescent="0.2">
      <c r="A45" s="1" t="s">
        <v>1</v>
      </c>
      <c r="B45" s="1" t="s">
        <v>2</v>
      </c>
      <c r="C45" s="1" t="s">
        <v>3</v>
      </c>
      <c r="D45" s="1" t="s">
        <v>4</v>
      </c>
      <c r="F45" s="38" t="s">
        <v>5</v>
      </c>
      <c r="G45" s="37"/>
      <c r="I45" s="1" t="s">
        <v>1</v>
      </c>
      <c r="J45" s="1" t="s">
        <v>2</v>
      </c>
      <c r="K45" s="1" t="s">
        <v>3</v>
      </c>
      <c r="L45" s="1" t="s">
        <v>4</v>
      </c>
      <c r="N45" s="38" t="s">
        <v>5</v>
      </c>
      <c r="O45" s="37"/>
    </row>
    <row r="46" spans="1:15" x14ac:dyDescent="0.2">
      <c r="A46" s="2" t="s">
        <v>6</v>
      </c>
      <c r="B46" s="3">
        <v>34.700000000000003</v>
      </c>
      <c r="C46" s="3">
        <v>35</v>
      </c>
      <c r="D46" s="3">
        <v>35.6</v>
      </c>
      <c r="F46" s="2" t="s">
        <v>7</v>
      </c>
      <c r="G46" s="4">
        <f>AVERAGE(B46:D48)</f>
        <v>37.544444444444444</v>
      </c>
      <c r="I46" s="2" t="s">
        <v>6</v>
      </c>
      <c r="J46" s="3">
        <v>348.6</v>
      </c>
      <c r="K46" s="3">
        <v>406</v>
      </c>
      <c r="L46" s="3">
        <v>379</v>
      </c>
      <c r="N46" s="2" t="s">
        <v>7</v>
      </c>
      <c r="O46" s="4">
        <f>AVERAGE(J46:L48)</f>
        <v>393.16666666666669</v>
      </c>
    </row>
    <row r="47" spans="1:15" x14ac:dyDescent="0.2">
      <c r="A47" s="2" t="s">
        <v>8</v>
      </c>
      <c r="B47" s="3">
        <v>38.5</v>
      </c>
      <c r="C47" s="3">
        <v>39.5</v>
      </c>
      <c r="D47" s="3">
        <v>38.1</v>
      </c>
      <c r="F47" s="2" t="s">
        <v>9</v>
      </c>
      <c r="G47" s="4">
        <f>MIN(B46:D48)</f>
        <v>34.700000000000003</v>
      </c>
      <c r="I47" s="2" t="s">
        <v>8</v>
      </c>
      <c r="J47" s="3">
        <v>396.9</v>
      </c>
      <c r="K47" s="3">
        <v>437.8</v>
      </c>
      <c r="L47" s="3">
        <v>414.7</v>
      </c>
      <c r="N47" s="2" t="s">
        <v>9</v>
      </c>
      <c r="O47" s="4">
        <f>MIN(J46:L48)</f>
        <v>348.6</v>
      </c>
    </row>
    <row r="48" spans="1:15" x14ac:dyDescent="0.2">
      <c r="A48" s="2" t="s">
        <v>10</v>
      </c>
      <c r="B48" s="3">
        <v>38</v>
      </c>
      <c r="C48" s="3">
        <v>39.5</v>
      </c>
      <c r="D48" s="3">
        <v>39</v>
      </c>
      <c r="F48" s="2" t="s">
        <v>11</v>
      </c>
      <c r="G48" s="4">
        <f>MAX(B46:D48)</f>
        <v>39.5</v>
      </c>
      <c r="I48" s="2" t="s">
        <v>10</v>
      </c>
      <c r="J48" s="3">
        <v>377</v>
      </c>
      <c r="K48" s="3">
        <v>402.8</v>
      </c>
      <c r="L48" s="3">
        <v>375.7</v>
      </c>
      <c r="N48" s="2" t="s">
        <v>11</v>
      </c>
      <c r="O48" s="4">
        <f>MAX(J46:L48)</f>
        <v>437.8</v>
      </c>
    </row>
    <row r="49" spans="1:15" x14ac:dyDescent="0.2">
      <c r="F49" s="2" t="s">
        <v>12</v>
      </c>
      <c r="G49" s="4">
        <f>G48-G47</f>
        <v>4.7999999999999972</v>
      </c>
      <c r="N49" s="2" t="s">
        <v>12</v>
      </c>
      <c r="O49" s="4">
        <f>O48-O47</f>
        <v>89.199999999999989</v>
      </c>
    </row>
    <row r="50" spans="1:15" x14ac:dyDescent="0.2">
      <c r="A50" s="5" t="s">
        <v>13</v>
      </c>
      <c r="F50" s="12" t="s">
        <v>67</v>
      </c>
      <c r="G50" s="13">
        <f>_xlfn.STDEV.S(B46:D48)</f>
        <v>1.9216601618854916</v>
      </c>
      <c r="N50" s="12" t="s">
        <v>66</v>
      </c>
      <c r="O50" s="13">
        <f>((MAX(J46:L48)-MIN(J46:L48))/(MAX(J46:L48)+MIN(J46:L48)))*100</f>
        <v>11.342828077314342</v>
      </c>
    </row>
    <row r="51" spans="1:15" x14ac:dyDescent="0.2">
      <c r="A51" s="6" t="s">
        <v>14</v>
      </c>
      <c r="C51" s="34" t="s">
        <v>107</v>
      </c>
      <c r="D51" s="35"/>
      <c r="E51" s="35"/>
      <c r="F51" s="35"/>
      <c r="G51" s="35"/>
    </row>
    <row r="52" spans="1:15" x14ac:dyDescent="0.2">
      <c r="A52" s="6" t="s">
        <v>16</v>
      </c>
      <c r="C52" s="34" t="s">
        <v>111</v>
      </c>
      <c r="D52" s="35"/>
      <c r="E52" s="35"/>
      <c r="F52" s="35"/>
      <c r="G52" s="35"/>
    </row>
    <row r="53" spans="1:15" x14ac:dyDescent="0.2">
      <c r="A53" s="6" t="s">
        <v>18</v>
      </c>
      <c r="C53" s="34" t="s">
        <v>53</v>
      </c>
      <c r="D53" s="35"/>
      <c r="E53" s="35"/>
      <c r="F53" s="35"/>
      <c r="G53" s="35"/>
    </row>
    <row r="54" spans="1:15" x14ac:dyDescent="0.2">
      <c r="A54" s="6" t="s">
        <v>19</v>
      </c>
      <c r="C54" s="34" t="s">
        <v>109</v>
      </c>
      <c r="D54" s="35"/>
      <c r="E54" s="35"/>
      <c r="F54" s="35"/>
      <c r="G54" s="35"/>
    </row>
    <row r="56" spans="1:15" x14ac:dyDescent="0.2">
      <c r="A56" s="27"/>
    </row>
    <row r="57" spans="1:15" x14ac:dyDescent="0.2">
      <c r="A57" s="36" t="s">
        <v>20</v>
      </c>
      <c r="B57" s="37"/>
      <c r="C57" s="37"/>
      <c r="D57" s="37"/>
      <c r="I57" s="36" t="s">
        <v>21</v>
      </c>
      <c r="J57" s="37"/>
      <c r="K57" s="37"/>
      <c r="L57" s="37"/>
    </row>
    <row r="58" spans="1:15" x14ac:dyDescent="0.2">
      <c r="A58" s="1" t="s">
        <v>1</v>
      </c>
      <c r="B58" s="1" t="s">
        <v>2</v>
      </c>
      <c r="C58" s="1" t="s">
        <v>3</v>
      </c>
      <c r="D58" s="1" t="s">
        <v>4</v>
      </c>
      <c r="F58" s="38" t="s">
        <v>5</v>
      </c>
      <c r="G58" s="37"/>
      <c r="I58" s="1" t="s">
        <v>1</v>
      </c>
      <c r="J58" s="1" t="s">
        <v>2</v>
      </c>
      <c r="K58" s="1" t="s">
        <v>3</v>
      </c>
      <c r="L58" s="1" t="s">
        <v>4</v>
      </c>
      <c r="N58" s="38" t="s">
        <v>5</v>
      </c>
      <c r="O58" s="37"/>
    </row>
    <row r="59" spans="1:15" x14ac:dyDescent="0.2">
      <c r="A59" s="2" t="s">
        <v>6</v>
      </c>
      <c r="B59" s="3"/>
      <c r="C59" s="3"/>
      <c r="D59" s="3"/>
      <c r="F59" s="2" t="s">
        <v>7</v>
      </c>
      <c r="G59" s="4" t="e">
        <f>AVERAGE(B59:D61)</f>
        <v>#DIV/0!</v>
      </c>
      <c r="I59" s="2" t="s">
        <v>6</v>
      </c>
      <c r="J59" s="3"/>
      <c r="K59" s="3"/>
      <c r="L59" s="3"/>
      <c r="N59" s="2" t="s">
        <v>7</v>
      </c>
      <c r="O59" s="4" t="e">
        <f>AVERAGE(J59:L61)</f>
        <v>#DIV/0!</v>
      </c>
    </row>
    <row r="60" spans="1:15" x14ac:dyDescent="0.2">
      <c r="A60" s="2" t="s">
        <v>8</v>
      </c>
      <c r="B60" s="3"/>
      <c r="C60" s="3"/>
      <c r="D60" s="3"/>
      <c r="F60" s="2" t="s">
        <v>9</v>
      </c>
      <c r="G60" s="4">
        <f>MIN(B59:D61)</f>
        <v>0</v>
      </c>
      <c r="I60" s="2" t="s">
        <v>8</v>
      </c>
      <c r="J60" s="3"/>
      <c r="K60" s="3"/>
      <c r="L60" s="3"/>
      <c r="N60" s="2" t="s">
        <v>9</v>
      </c>
      <c r="O60" s="4">
        <f>MIN(J59:L61)</f>
        <v>0</v>
      </c>
    </row>
    <row r="61" spans="1:15" x14ac:dyDescent="0.2">
      <c r="A61" s="2" t="s">
        <v>10</v>
      </c>
      <c r="B61" s="3"/>
      <c r="C61" s="3"/>
      <c r="D61" s="3"/>
      <c r="F61" s="2" t="s">
        <v>11</v>
      </c>
      <c r="G61" s="4">
        <f>MAX(B59:D61)</f>
        <v>0</v>
      </c>
      <c r="I61" s="2" t="s">
        <v>10</v>
      </c>
      <c r="J61" s="3"/>
      <c r="K61" s="3"/>
      <c r="L61" s="3"/>
      <c r="N61" s="2" t="s">
        <v>11</v>
      </c>
      <c r="O61" s="4">
        <f>MAX(J59:L61)</f>
        <v>0</v>
      </c>
    </row>
    <row r="62" spans="1:15" x14ac:dyDescent="0.2">
      <c r="F62" s="2" t="s">
        <v>12</v>
      </c>
      <c r="G62" s="4">
        <f>G61-G60</f>
        <v>0</v>
      </c>
      <c r="N62" s="2" t="s">
        <v>12</v>
      </c>
      <c r="O62" s="4">
        <f>O61-O60</f>
        <v>0</v>
      </c>
    </row>
    <row r="63" spans="1:15" x14ac:dyDescent="0.2">
      <c r="A63" s="5" t="s">
        <v>13</v>
      </c>
      <c r="F63" s="12" t="s">
        <v>67</v>
      </c>
      <c r="G63" s="13" t="e">
        <f>_xlfn.STDEV.S(B59:D61)</f>
        <v>#DIV/0!</v>
      </c>
      <c r="N63" s="12" t="s">
        <v>66</v>
      </c>
      <c r="O63" s="13" t="e">
        <f>((MAX(J59:L61)-MIN(J59:L61))/(MAX(J59:L61)+MIN(J59:L61)))*100</f>
        <v>#DIV/0!</v>
      </c>
    </row>
    <row r="64" spans="1:15" x14ac:dyDescent="0.2">
      <c r="A64" s="6" t="s">
        <v>14</v>
      </c>
      <c r="C64" s="34" t="s">
        <v>108</v>
      </c>
      <c r="D64" s="35"/>
      <c r="E64" s="35"/>
      <c r="F64" s="35"/>
      <c r="G64" s="35"/>
    </row>
    <row r="65" spans="1:7" x14ac:dyDescent="0.2">
      <c r="A65" s="6" t="s">
        <v>16</v>
      </c>
      <c r="C65" s="34" t="s">
        <v>111</v>
      </c>
      <c r="D65" s="35"/>
      <c r="E65" s="35"/>
      <c r="F65" s="35"/>
      <c r="G65" s="35"/>
    </row>
    <row r="66" spans="1:7" x14ac:dyDescent="0.2">
      <c r="A66" s="6" t="s">
        <v>18</v>
      </c>
      <c r="C66" s="34" t="s">
        <v>53</v>
      </c>
      <c r="D66" s="35"/>
      <c r="E66" s="35"/>
      <c r="F66" s="35"/>
      <c r="G66" s="35"/>
    </row>
    <row r="67" spans="1:7" x14ac:dyDescent="0.2">
      <c r="A67" s="6" t="s">
        <v>19</v>
      </c>
      <c r="C67" s="34" t="s">
        <v>109</v>
      </c>
      <c r="D67" s="35"/>
      <c r="E67" s="35"/>
      <c r="F67" s="35"/>
      <c r="G67" s="35"/>
    </row>
  </sheetData>
  <mergeCells count="40">
    <mergeCell ref="C64:G64"/>
    <mergeCell ref="C65:G65"/>
    <mergeCell ref="C66:G66"/>
    <mergeCell ref="C67:G67"/>
    <mergeCell ref="C53:G53"/>
    <mergeCell ref="C54:G54"/>
    <mergeCell ref="A57:D57"/>
    <mergeCell ref="F58:G58"/>
    <mergeCell ref="N58:O58"/>
    <mergeCell ref="A44:D44"/>
    <mergeCell ref="I44:L44"/>
    <mergeCell ref="F45:G45"/>
    <mergeCell ref="N45:O45"/>
    <mergeCell ref="C51:G51"/>
    <mergeCell ref="C52:G52"/>
    <mergeCell ref="N33:O33"/>
    <mergeCell ref="C39:G39"/>
    <mergeCell ref="C40:G40"/>
    <mergeCell ref="C41:G41"/>
    <mergeCell ref="I57:L57"/>
    <mergeCell ref="C42:G42"/>
    <mergeCell ref="C26:G26"/>
    <mergeCell ref="C27:G27"/>
    <mergeCell ref="C28:G28"/>
    <mergeCell ref="C29:G29"/>
    <mergeCell ref="A32:D32"/>
    <mergeCell ref="F33:G33"/>
    <mergeCell ref="I32:L32"/>
    <mergeCell ref="C14:G14"/>
    <mergeCell ref="C15:G15"/>
    <mergeCell ref="A19:D19"/>
    <mergeCell ref="I19:L19"/>
    <mergeCell ref="F20:G20"/>
    <mergeCell ref="N20:O20"/>
    <mergeCell ref="A5:D5"/>
    <mergeCell ref="I5:L5"/>
    <mergeCell ref="F6:G6"/>
    <mergeCell ref="N6:O6"/>
    <mergeCell ref="C12:G12"/>
    <mergeCell ref="C13:G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B2B1-DDDE-C84A-BF32-71454EEA4B0E}">
  <dimension ref="A1:O56"/>
  <sheetViews>
    <sheetView topLeftCell="A22" workbookViewId="0">
      <selection activeCell="S34" sqref="S34"/>
    </sheetView>
  </sheetViews>
  <sheetFormatPr baseColWidth="10" defaultRowHeight="15" x14ac:dyDescent="0.2"/>
  <sheetData>
    <row r="1" spans="1:15" ht="26" x14ac:dyDescent="0.3">
      <c r="A1" s="29" t="s">
        <v>101</v>
      </c>
    </row>
    <row r="4" spans="1:15" x14ac:dyDescent="0.2">
      <c r="A4" s="27"/>
    </row>
    <row r="5" spans="1:15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</row>
    <row r="6" spans="1:15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</row>
    <row r="7" spans="1:15" x14ac:dyDescent="0.2">
      <c r="A7" s="2" t="s">
        <v>6</v>
      </c>
      <c r="B7" s="3">
        <v>27.4</v>
      </c>
      <c r="C7" s="3">
        <v>28</v>
      </c>
      <c r="D7" s="3">
        <v>28</v>
      </c>
      <c r="F7" s="2" t="s">
        <v>7</v>
      </c>
      <c r="G7" s="4">
        <f>AVERAGE(B7:D9)</f>
        <v>29</v>
      </c>
      <c r="I7" s="2" t="s">
        <v>6</v>
      </c>
      <c r="J7" s="3">
        <v>193.6</v>
      </c>
      <c r="K7" s="3">
        <v>206.1</v>
      </c>
      <c r="L7" s="3">
        <v>197.5</v>
      </c>
      <c r="N7" s="2" t="s">
        <v>7</v>
      </c>
      <c r="O7" s="4">
        <f>AVERAGE(J7:L9)</f>
        <v>206.54444444444445</v>
      </c>
    </row>
    <row r="8" spans="1:15" x14ac:dyDescent="0.2">
      <c r="A8" s="2" t="s">
        <v>8</v>
      </c>
      <c r="B8" s="3">
        <v>31.4</v>
      </c>
      <c r="C8" s="3">
        <v>29.5</v>
      </c>
      <c r="D8" s="3">
        <v>29</v>
      </c>
      <c r="F8" s="2" t="s">
        <v>9</v>
      </c>
      <c r="G8" s="4">
        <f>MIN(B7:D9)</f>
        <v>27.4</v>
      </c>
      <c r="I8" s="2" t="s">
        <v>8</v>
      </c>
      <c r="J8" s="3">
        <v>213.8</v>
      </c>
      <c r="K8" s="3">
        <v>229.7</v>
      </c>
      <c r="L8" s="3">
        <v>213.2</v>
      </c>
      <c r="N8" s="2" t="s">
        <v>9</v>
      </c>
      <c r="O8" s="4">
        <f>MIN(J7:L9)</f>
        <v>193.6</v>
      </c>
    </row>
    <row r="9" spans="1:15" x14ac:dyDescent="0.2">
      <c r="A9" s="2" t="s">
        <v>10</v>
      </c>
      <c r="B9" s="3">
        <v>29</v>
      </c>
      <c r="C9" s="3">
        <v>29.4</v>
      </c>
      <c r="D9" s="3">
        <v>29.3</v>
      </c>
      <c r="F9" s="2" t="s">
        <v>11</v>
      </c>
      <c r="G9" s="4">
        <f>MAX(B7:D9)</f>
        <v>31.4</v>
      </c>
      <c r="I9" s="2" t="s">
        <v>10</v>
      </c>
      <c r="J9" s="3">
        <v>197.3</v>
      </c>
      <c r="K9" s="3">
        <v>207.2</v>
      </c>
      <c r="L9" s="3">
        <v>200.5</v>
      </c>
      <c r="N9" s="2" t="s">
        <v>11</v>
      </c>
      <c r="O9" s="4">
        <f>MAX(J7:L9)</f>
        <v>229.7</v>
      </c>
    </row>
    <row r="10" spans="1:15" x14ac:dyDescent="0.2">
      <c r="F10" s="2" t="s">
        <v>12</v>
      </c>
      <c r="G10" s="4">
        <f>G9-G8</f>
        <v>4</v>
      </c>
      <c r="N10" s="2" t="s">
        <v>12</v>
      </c>
      <c r="O10" s="4">
        <f>O9-O8</f>
        <v>36.099999999999994</v>
      </c>
    </row>
    <row r="11" spans="1:15" x14ac:dyDescent="0.2">
      <c r="A11" s="5" t="s">
        <v>13</v>
      </c>
      <c r="F11" s="12" t="s">
        <v>67</v>
      </c>
      <c r="G11" s="13">
        <f>_xlfn.STDEV.S(B7:D9)</f>
        <v>1.1629703349613005</v>
      </c>
      <c r="N11" s="12" t="s">
        <v>66</v>
      </c>
      <c r="O11" s="13">
        <f>((MAX(J7:L9)-MIN(J7:L9))/(MAX(J7:L9)+MIN(J7:L9)))*100</f>
        <v>8.5282305693361682</v>
      </c>
    </row>
    <row r="12" spans="1:15" x14ac:dyDescent="0.2">
      <c r="A12" s="6" t="s">
        <v>14</v>
      </c>
      <c r="C12" s="34" t="s">
        <v>97</v>
      </c>
      <c r="D12" s="35"/>
      <c r="E12" s="35"/>
      <c r="F12" s="35"/>
      <c r="G12" s="35"/>
    </row>
    <row r="13" spans="1:15" x14ac:dyDescent="0.2">
      <c r="A13" s="6" t="s">
        <v>16</v>
      </c>
      <c r="C13" s="34" t="s">
        <v>110</v>
      </c>
      <c r="D13" s="35"/>
      <c r="E13" s="35"/>
      <c r="F13" s="35"/>
      <c r="G13" s="35"/>
    </row>
    <row r="14" spans="1:15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15" x14ac:dyDescent="0.2">
      <c r="A15" s="6" t="s">
        <v>19</v>
      </c>
      <c r="C15" s="34" t="s">
        <v>112</v>
      </c>
      <c r="D15" s="35"/>
      <c r="E15" s="35"/>
      <c r="F15" s="35"/>
      <c r="G15" s="35"/>
    </row>
    <row r="19" spans="1:15" x14ac:dyDescent="0.2">
      <c r="A19" s="27"/>
    </row>
    <row r="20" spans="1:15" x14ac:dyDescent="0.2">
      <c r="A20" s="36" t="s">
        <v>20</v>
      </c>
      <c r="B20" s="37"/>
      <c r="C20" s="37"/>
      <c r="D20" s="37"/>
      <c r="I20" s="36" t="s">
        <v>21</v>
      </c>
      <c r="J20" s="37"/>
      <c r="K20" s="37"/>
      <c r="L20" s="37"/>
    </row>
    <row r="21" spans="1:15" x14ac:dyDescent="0.2">
      <c r="A21" s="1" t="s">
        <v>1</v>
      </c>
      <c r="B21" s="1" t="s">
        <v>2</v>
      </c>
      <c r="C21" s="1" t="s">
        <v>3</v>
      </c>
      <c r="D21" s="1" t="s">
        <v>4</v>
      </c>
      <c r="F21" s="38" t="s">
        <v>5</v>
      </c>
      <c r="G21" s="37"/>
      <c r="I21" s="1" t="s">
        <v>1</v>
      </c>
      <c r="J21" s="1" t="s">
        <v>2</v>
      </c>
      <c r="K21" s="1" t="s">
        <v>3</v>
      </c>
      <c r="L21" s="1" t="s">
        <v>4</v>
      </c>
      <c r="N21" s="38" t="s">
        <v>5</v>
      </c>
      <c r="O21" s="37"/>
    </row>
    <row r="22" spans="1:15" x14ac:dyDescent="0.2">
      <c r="A22" s="2" t="s">
        <v>6</v>
      </c>
      <c r="B22" s="3">
        <v>29.5</v>
      </c>
      <c r="C22" s="3">
        <v>30.1</v>
      </c>
      <c r="D22" s="3">
        <v>30.4</v>
      </c>
      <c r="F22" s="2" t="s">
        <v>7</v>
      </c>
      <c r="G22" s="4">
        <f>AVERAGE(B22:D24)</f>
        <v>31.077777777777783</v>
      </c>
      <c r="I22" s="2" t="s">
        <v>6</v>
      </c>
      <c r="J22" s="3">
        <v>281.89999999999998</v>
      </c>
      <c r="K22" s="3">
        <v>312.89999999999998</v>
      </c>
      <c r="L22" s="3">
        <v>307</v>
      </c>
      <c r="N22" s="2" t="s">
        <v>7</v>
      </c>
      <c r="O22" s="4">
        <f>AVERAGE(J22:L24)</f>
        <v>318.15555555555557</v>
      </c>
    </row>
    <row r="23" spans="1:15" x14ac:dyDescent="0.2">
      <c r="A23" s="2" t="s">
        <v>8</v>
      </c>
      <c r="B23" s="3">
        <v>31.6</v>
      </c>
      <c r="C23" s="3">
        <v>32</v>
      </c>
      <c r="D23" s="3">
        <v>31.4</v>
      </c>
      <c r="F23" s="2" t="s">
        <v>9</v>
      </c>
      <c r="G23" s="4">
        <f>MIN(B22:D24)</f>
        <v>29.5</v>
      </c>
      <c r="I23" s="2" t="s">
        <v>8</v>
      </c>
      <c r="J23" s="3">
        <v>321.8</v>
      </c>
      <c r="K23" s="3">
        <v>351.9</v>
      </c>
      <c r="L23" s="3">
        <v>324.2</v>
      </c>
      <c r="N23" s="2" t="s">
        <v>9</v>
      </c>
      <c r="O23" s="4">
        <f>MIN(J22:L24)</f>
        <v>281.89999999999998</v>
      </c>
    </row>
    <row r="24" spans="1:15" x14ac:dyDescent="0.2">
      <c r="A24" s="2" t="s">
        <v>10</v>
      </c>
      <c r="B24" s="3">
        <v>31.3</v>
      </c>
      <c r="C24" s="3">
        <v>31.9</v>
      </c>
      <c r="D24" s="3">
        <v>31.5</v>
      </c>
      <c r="F24" s="2" t="s">
        <v>11</v>
      </c>
      <c r="G24" s="4">
        <f>MAX(B22:D24)</f>
        <v>32</v>
      </c>
      <c r="I24" s="2" t="s">
        <v>10</v>
      </c>
      <c r="J24" s="3">
        <v>304.60000000000002</v>
      </c>
      <c r="K24" s="3">
        <v>352.1</v>
      </c>
      <c r="L24" s="3">
        <v>307</v>
      </c>
      <c r="N24" s="2" t="s">
        <v>11</v>
      </c>
      <c r="O24" s="4">
        <f>MAX(J22:L24)</f>
        <v>352.1</v>
      </c>
    </row>
    <row r="25" spans="1:15" x14ac:dyDescent="0.2">
      <c r="F25" s="2" t="s">
        <v>12</v>
      </c>
      <c r="G25" s="4">
        <f>G24-G23</f>
        <v>2.5</v>
      </c>
      <c r="N25" s="2" t="s">
        <v>12</v>
      </c>
      <c r="O25" s="4">
        <f>O24-O23</f>
        <v>70.200000000000045</v>
      </c>
    </row>
    <row r="26" spans="1:15" x14ac:dyDescent="0.2">
      <c r="A26" s="5" t="s">
        <v>13</v>
      </c>
      <c r="F26" s="12" t="s">
        <v>67</v>
      </c>
      <c r="G26" s="13">
        <f>_xlfn.STDEV.S(B22:D24)</f>
        <v>0.86858761471969193</v>
      </c>
      <c r="N26" s="12" t="s">
        <v>66</v>
      </c>
      <c r="O26" s="13">
        <f>((MAX(J22:L24)-MIN(J22:L24))/(MAX(J22:L24)+MIN(J22:L24)))*100</f>
        <v>11.072555205047326</v>
      </c>
    </row>
    <row r="27" spans="1:15" x14ac:dyDescent="0.2">
      <c r="A27" s="6" t="s">
        <v>14</v>
      </c>
      <c r="C27" s="34" t="s">
        <v>105</v>
      </c>
      <c r="D27" s="35"/>
      <c r="E27" s="35"/>
      <c r="F27" s="35"/>
      <c r="G27" s="35"/>
    </row>
    <row r="28" spans="1:15" x14ac:dyDescent="0.2">
      <c r="A28" s="6" t="s">
        <v>16</v>
      </c>
      <c r="C28" s="34" t="s">
        <v>110</v>
      </c>
      <c r="D28" s="35"/>
      <c r="E28" s="35"/>
      <c r="F28" s="35"/>
      <c r="G28" s="35"/>
    </row>
    <row r="29" spans="1:15" x14ac:dyDescent="0.2">
      <c r="A29" s="6" t="s">
        <v>18</v>
      </c>
      <c r="C29" s="34" t="s">
        <v>53</v>
      </c>
      <c r="D29" s="35"/>
      <c r="E29" s="35"/>
      <c r="F29" s="35"/>
      <c r="G29" s="35"/>
    </row>
    <row r="30" spans="1:15" x14ac:dyDescent="0.2">
      <c r="A30" s="6" t="s">
        <v>19</v>
      </c>
      <c r="C30" s="34" t="s">
        <v>112</v>
      </c>
      <c r="D30" s="35"/>
      <c r="E30" s="35"/>
      <c r="F30" s="35"/>
      <c r="G30" s="35"/>
    </row>
    <row r="32" spans="1:15" x14ac:dyDescent="0.2">
      <c r="A32" s="27"/>
    </row>
    <row r="33" spans="1:15" x14ac:dyDescent="0.2">
      <c r="A33" s="36" t="s">
        <v>20</v>
      </c>
      <c r="B33" s="37"/>
      <c r="C33" s="37"/>
      <c r="D33" s="37"/>
      <c r="I33" s="36" t="s">
        <v>21</v>
      </c>
      <c r="J33" s="37"/>
      <c r="K33" s="37"/>
      <c r="L33" s="37"/>
    </row>
    <row r="34" spans="1:15" x14ac:dyDescent="0.2">
      <c r="A34" s="1" t="s">
        <v>1</v>
      </c>
      <c r="B34" s="1" t="s">
        <v>2</v>
      </c>
      <c r="C34" s="1" t="s">
        <v>3</v>
      </c>
      <c r="D34" s="1" t="s">
        <v>4</v>
      </c>
      <c r="F34" s="38" t="s">
        <v>5</v>
      </c>
      <c r="G34" s="37"/>
      <c r="I34" s="1" t="s">
        <v>1</v>
      </c>
      <c r="J34" s="1" t="s">
        <v>2</v>
      </c>
      <c r="K34" s="1" t="s">
        <v>3</v>
      </c>
      <c r="L34" s="1" t="s">
        <v>4</v>
      </c>
      <c r="N34" s="38" t="s">
        <v>5</v>
      </c>
      <c r="O34" s="37"/>
    </row>
    <row r="35" spans="1:15" x14ac:dyDescent="0.2">
      <c r="A35" s="2" t="s">
        <v>6</v>
      </c>
      <c r="B35" s="3">
        <v>29.5</v>
      </c>
      <c r="C35" s="3">
        <v>30.4</v>
      </c>
      <c r="D35" s="3">
        <v>31</v>
      </c>
      <c r="F35" s="2" t="s">
        <v>7</v>
      </c>
      <c r="G35" s="4">
        <f>AVERAGE(B35:D37)</f>
        <v>31.633333333333333</v>
      </c>
      <c r="I35" s="2" t="s">
        <v>6</v>
      </c>
      <c r="J35" s="3">
        <v>342.2</v>
      </c>
      <c r="K35" s="3">
        <v>406.1</v>
      </c>
      <c r="L35" s="3">
        <v>366.5</v>
      </c>
      <c r="N35" s="2" t="s">
        <v>7</v>
      </c>
      <c r="O35" s="4">
        <f>AVERAGE(J35:L37)</f>
        <v>394.67777777777775</v>
      </c>
    </row>
    <row r="36" spans="1:15" x14ac:dyDescent="0.2">
      <c r="A36" s="2" t="s">
        <v>8</v>
      </c>
      <c r="B36" s="3">
        <v>31.5</v>
      </c>
      <c r="C36" s="3">
        <v>32.6</v>
      </c>
      <c r="D36" s="3">
        <v>32.5</v>
      </c>
      <c r="F36" s="2" t="s">
        <v>9</v>
      </c>
      <c r="G36" s="4">
        <f>MIN(B35:D37)</f>
        <v>29.5</v>
      </c>
      <c r="I36" s="2" t="s">
        <v>8</v>
      </c>
      <c r="J36" s="3">
        <v>405.7</v>
      </c>
      <c r="K36" s="3">
        <v>447.7</v>
      </c>
      <c r="L36" s="3">
        <v>405</v>
      </c>
      <c r="N36" s="2" t="s">
        <v>9</v>
      </c>
      <c r="O36" s="4">
        <f>MIN(J35:L37)</f>
        <v>342.2</v>
      </c>
    </row>
    <row r="37" spans="1:15" x14ac:dyDescent="0.2">
      <c r="A37" s="2" t="s">
        <v>10</v>
      </c>
      <c r="B37" s="3">
        <v>32</v>
      </c>
      <c r="C37" s="3">
        <v>32.4</v>
      </c>
      <c r="D37" s="3">
        <v>32.799999999999997</v>
      </c>
      <c r="F37" s="2" t="s">
        <v>11</v>
      </c>
      <c r="G37" s="4">
        <f>MAX(B35:D37)</f>
        <v>32.799999999999997</v>
      </c>
      <c r="I37" s="2" t="s">
        <v>10</v>
      </c>
      <c r="J37" s="3">
        <v>386.3</v>
      </c>
      <c r="K37" s="3">
        <v>414</v>
      </c>
      <c r="L37" s="3">
        <v>378.6</v>
      </c>
      <c r="N37" s="2" t="s">
        <v>11</v>
      </c>
      <c r="O37" s="4">
        <f>MAX(J35:L37)</f>
        <v>447.7</v>
      </c>
    </row>
    <row r="38" spans="1:15" x14ac:dyDescent="0.2">
      <c r="F38" s="2" t="s">
        <v>12</v>
      </c>
      <c r="G38" s="4">
        <f>G37-G36</f>
        <v>3.2999999999999972</v>
      </c>
      <c r="N38" s="2" t="s">
        <v>12</v>
      </c>
      <c r="O38" s="4">
        <f>O37-O36</f>
        <v>105.5</v>
      </c>
    </row>
    <row r="39" spans="1:15" x14ac:dyDescent="0.2">
      <c r="A39" s="5" t="s">
        <v>13</v>
      </c>
      <c r="F39" s="12" t="s">
        <v>67</v>
      </c>
      <c r="G39" s="13">
        <f>_xlfn.STDEV.S(B35:D37)</f>
        <v>1.1324751652906122</v>
      </c>
      <c r="N39" s="12" t="s">
        <v>66</v>
      </c>
      <c r="O39" s="13">
        <f>((MAX(J35:L37)-MIN(J35:L37))/(MAX(J35:L37)+MIN(J35:L37)))*100</f>
        <v>13.356121027978226</v>
      </c>
    </row>
    <row r="40" spans="1:15" x14ac:dyDescent="0.2">
      <c r="A40" s="6" t="s">
        <v>14</v>
      </c>
      <c r="C40" s="34" t="s">
        <v>107</v>
      </c>
      <c r="D40" s="35"/>
      <c r="E40" s="35"/>
      <c r="F40" s="35"/>
      <c r="G40" s="35"/>
    </row>
    <row r="41" spans="1:15" x14ac:dyDescent="0.2">
      <c r="A41" s="6" t="s">
        <v>16</v>
      </c>
      <c r="C41" s="34" t="s">
        <v>110</v>
      </c>
      <c r="D41" s="35"/>
      <c r="E41" s="35"/>
      <c r="F41" s="35"/>
      <c r="G41" s="35"/>
    </row>
    <row r="42" spans="1:15" x14ac:dyDescent="0.2">
      <c r="A42" s="6" t="s">
        <v>18</v>
      </c>
      <c r="C42" s="34" t="s">
        <v>53</v>
      </c>
      <c r="D42" s="35"/>
      <c r="E42" s="35"/>
      <c r="F42" s="35"/>
      <c r="G42" s="35"/>
    </row>
    <row r="43" spans="1:15" x14ac:dyDescent="0.2">
      <c r="A43" s="6" t="s">
        <v>19</v>
      </c>
      <c r="C43" s="34" t="s">
        <v>112</v>
      </c>
      <c r="D43" s="35"/>
      <c r="E43" s="35"/>
      <c r="F43" s="35"/>
      <c r="G43" s="35"/>
    </row>
    <row r="45" spans="1:15" x14ac:dyDescent="0.2">
      <c r="A45" s="27"/>
    </row>
    <row r="46" spans="1:15" x14ac:dyDescent="0.2">
      <c r="A46" s="36" t="s">
        <v>20</v>
      </c>
      <c r="B46" s="37"/>
      <c r="C46" s="37"/>
      <c r="D46" s="37"/>
      <c r="I46" s="36" t="s">
        <v>21</v>
      </c>
      <c r="J46" s="37"/>
      <c r="K46" s="37"/>
      <c r="L46" s="37"/>
    </row>
    <row r="47" spans="1:15" x14ac:dyDescent="0.2">
      <c r="A47" s="1" t="s">
        <v>1</v>
      </c>
      <c r="B47" s="1" t="s">
        <v>2</v>
      </c>
      <c r="C47" s="1" t="s">
        <v>3</v>
      </c>
      <c r="D47" s="1" t="s">
        <v>4</v>
      </c>
      <c r="F47" s="38" t="s">
        <v>5</v>
      </c>
      <c r="G47" s="37"/>
      <c r="I47" s="1" t="s">
        <v>1</v>
      </c>
      <c r="J47" s="1" t="s">
        <v>2</v>
      </c>
      <c r="K47" s="1" t="s">
        <v>3</v>
      </c>
      <c r="L47" s="1" t="s">
        <v>4</v>
      </c>
      <c r="N47" s="38" t="s">
        <v>5</v>
      </c>
      <c r="O47" s="37"/>
    </row>
    <row r="48" spans="1:15" x14ac:dyDescent="0.2">
      <c r="A48" s="2" t="s">
        <v>6</v>
      </c>
      <c r="B48" s="3">
        <v>30.7</v>
      </c>
      <c r="C48" s="3">
        <v>32.4</v>
      </c>
      <c r="D48" s="3">
        <v>33</v>
      </c>
      <c r="F48" s="2" t="s">
        <v>7</v>
      </c>
      <c r="G48" s="4">
        <f>AVERAGE(B48:D50)</f>
        <v>33.744444444444447</v>
      </c>
      <c r="I48" s="2" t="s">
        <v>6</v>
      </c>
      <c r="J48" s="3">
        <v>455.2</v>
      </c>
      <c r="K48" s="3">
        <v>506.1</v>
      </c>
      <c r="L48" s="3">
        <v>462.5</v>
      </c>
      <c r="N48" s="2" t="s">
        <v>7</v>
      </c>
      <c r="O48" s="4">
        <f>AVERAGE(J48:L50)</f>
        <v>501.21111111111105</v>
      </c>
    </row>
    <row r="49" spans="1:15" x14ac:dyDescent="0.2">
      <c r="A49" s="2" t="s">
        <v>8</v>
      </c>
      <c r="B49" s="3">
        <v>33.700000000000003</v>
      </c>
      <c r="C49" s="3">
        <v>35</v>
      </c>
      <c r="D49" s="3">
        <v>35</v>
      </c>
      <c r="F49" s="2" t="s">
        <v>9</v>
      </c>
      <c r="G49" s="4">
        <f>MIN(B48:D50)</f>
        <v>30.7</v>
      </c>
      <c r="I49" s="2" t="s">
        <v>8</v>
      </c>
      <c r="J49" s="3">
        <v>513.79999999999995</v>
      </c>
      <c r="K49" s="3">
        <v>562.1</v>
      </c>
      <c r="L49" s="3">
        <v>520.4</v>
      </c>
      <c r="N49" s="2" t="s">
        <v>9</v>
      </c>
      <c r="O49" s="4">
        <f>MIN(J48:L50)</f>
        <v>455.2</v>
      </c>
    </row>
    <row r="50" spans="1:15" x14ac:dyDescent="0.2">
      <c r="A50" s="2" t="s">
        <v>10</v>
      </c>
      <c r="B50" s="3">
        <v>33.4</v>
      </c>
      <c r="C50" s="3">
        <v>35.5</v>
      </c>
      <c r="D50" s="3">
        <v>35</v>
      </c>
      <c r="F50" s="2" t="s">
        <v>11</v>
      </c>
      <c r="G50" s="4">
        <f>MAX(B48:D50)</f>
        <v>35.5</v>
      </c>
      <c r="I50" s="2" t="s">
        <v>10</v>
      </c>
      <c r="J50" s="3">
        <v>483.4</v>
      </c>
      <c r="K50" s="3">
        <v>521.1</v>
      </c>
      <c r="L50" s="3">
        <v>486.3</v>
      </c>
      <c r="N50" s="2" t="s">
        <v>11</v>
      </c>
      <c r="O50" s="4">
        <f>MAX(J48:L50)</f>
        <v>562.1</v>
      </c>
    </row>
    <row r="51" spans="1:15" x14ac:dyDescent="0.2">
      <c r="F51" s="2" t="s">
        <v>12</v>
      </c>
      <c r="G51" s="4">
        <f>G50-G49</f>
        <v>4.8000000000000007</v>
      </c>
      <c r="N51" s="2" t="s">
        <v>12</v>
      </c>
      <c r="O51" s="4">
        <f>O50-O49</f>
        <v>106.90000000000003</v>
      </c>
    </row>
    <row r="52" spans="1:15" x14ac:dyDescent="0.2">
      <c r="A52" s="5" t="s">
        <v>13</v>
      </c>
      <c r="F52" s="12" t="s">
        <v>67</v>
      </c>
      <c r="G52" s="13">
        <f>_xlfn.STDEV.S(B48:D50)</f>
        <v>1.5637383981273141</v>
      </c>
      <c r="N52" s="12" t="s">
        <v>66</v>
      </c>
      <c r="O52" s="13">
        <f>((MAX(J48:L50)-MIN(J48:L50))/(MAX(J48:L50)+MIN(J48:L50)))*100</f>
        <v>10.508208001572793</v>
      </c>
    </row>
    <row r="53" spans="1:15" x14ac:dyDescent="0.2">
      <c r="A53" s="6" t="s">
        <v>14</v>
      </c>
      <c r="C53" s="34" t="s">
        <v>108</v>
      </c>
      <c r="D53" s="35"/>
      <c r="E53" s="35"/>
      <c r="F53" s="35"/>
      <c r="G53" s="35"/>
    </row>
    <row r="54" spans="1:15" x14ac:dyDescent="0.2">
      <c r="A54" s="6" t="s">
        <v>16</v>
      </c>
      <c r="C54" s="34" t="s">
        <v>111</v>
      </c>
      <c r="D54" s="35"/>
      <c r="E54" s="35"/>
      <c r="F54" s="35"/>
      <c r="G54" s="35"/>
    </row>
    <row r="55" spans="1:15" x14ac:dyDescent="0.2">
      <c r="A55" s="6" t="s">
        <v>18</v>
      </c>
      <c r="C55" s="34" t="s">
        <v>53</v>
      </c>
      <c r="D55" s="35"/>
      <c r="E55" s="35"/>
      <c r="F55" s="35"/>
      <c r="G55" s="35"/>
    </row>
    <row r="56" spans="1:15" x14ac:dyDescent="0.2">
      <c r="A56" s="6" t="s">
        <v>19</v>
      </c>
      <c r="C56" s="34" t="s">
        <v>113</v>
      </c>
      <c r="D56" s="35"/>
      <c r="E56" s="35"/>
      <c r="F56" s="35"/>
      <c r="G56" s="35"/>
    </row>
  </sheetData>
  <mergeCells count="32">
    <mergeCell ref="C55:G55"/>
    <mergeCell ref="C56:G56"/>
    <mergeCell ref="A46:D46"/>
    <mergeCell ref="I46:L46"/>
    <mergeCell ref="F47:G47"/>
    <mergeCell ref="N47:O47"/>
    <mergeCell ref="C53:G53"/>
    <mergeCell ref="C54:G54"/>
    <mergeCell ref="F34:G34"/>
    <mergeCell ref="N34:O34"/>
    <mergeCell ref="C40:G40"/>
    <mergeCell ref="C41:G41"/>
    <mergeCell ref="C42:G42"/>
    <mergeCell ref="C43:G43"/>
    <mergeCell ref="I33:L33"/>
    <mergeCell ref="C14:G14"/>
    <mergeCell ref="C15:G15"/>
    <mergeCell ref="A20:D20"/>
    <mergeCell ref="I20:L20"/>
    <mergeCell ref="F21:G21"/>
    <mergeCell ref="C27:G27"/>
    <mergeCell ref="C28:G28"/>
    <mergeCell ref="C29:G29"/>
    <mergeCell ref="C30:G30"/>
    <mergeCell ref="A33:D33"/>
    <mergeCell ref="N21:O21"/>
    <mergeCell ref="A5:D5"/>
    <mergeCell ref="I5:L5"/>
    <mergeCell ref="F6:G6"/>
    <mergeCell ref="N6:O6"/>
    <mergeCell ref="C12:G12"/>
    <mergeCell ref="C13:G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422F-8AC1-E84E-AB24-1517AA3054D1}">
  <dimension ref="A1:P87"/>
  <sheetViews>
    <sheetView topLeftCell="A11" zoomScale="116" workbookViewId="0">
      <selection activeCell="F20" sqref="F20"/>
    </sheetView>
  </sheetViews>
  <sheetFormatPr baseColWidth="10" defaultRowHeight="15" x14ac:dyDescent="0.2"/>
  <sheetData>
    <row r="1" spans="1:15" ht="24" x14ac:dyDescent="0.3">
      <c r="A1" t="s">
        <v>114</v>
      </c>
    </row>
    <row r="2" spans="1:15" x14ac:dyDescent="0.2">
      <c r="A2" s="27"/>
    </row>
    <row r="3" spans="1:15" x14ac:dyDescent="0.2">
      <c r="A3" s="36" t="s">
        <v>20</v>
      </c>
      <c r="B3" s="37"/>
      <c r="C3" s="37"/>
      <c r="D3" s="37"/>
      <c r="I3" s="36" t="s">
        <v>21</v>
      </c>
      <c r="J3" s="37"/>
      <c r="K3" s="37"/>
      <c r="L3" s="37"/>
    </row>
    <row r="4" spans="1:15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</row>
    <row r="5" spans="1:15" x14ac:dyDescent="0.2">
      <c r="A5" s="2" t="s">
        <v>6</v>
      </c>
      <c r="B5" s="3">
        <v>39.6</v>
      </c>
      <c r="C5" s="3">
        <v>43.5</v>
      </c>
      <c r="D5" s="3">
        <v>45.2</v>
      </c>
      <c r="F5" s="2" t="s">
        <v>7</v>
      </c>
      <c r="G5" s="4">
        <f>AVERAGE(B5:D7)</f>
        <v>44.488888888888887</v>
      </c>
      <c r="I5" s="2" t="s">
        <v>6</v>
      </c>
      <c r="J5" s="3">
        <v>651.5</v>
      </c>
      <c r="K5" s="3">
        <v>761</v>
      </c>
      <c r="L5" s="3">
        <v>716.7</v>
      </c>
      <c r="N5" s="2" t="s">
        <v>7</v>
      </c>
      <c r="O5" s="4">
        <f>AVERAGE(J5:L7)</f>
        <v>742.66666666666663</v>
      </c>
    </row>
    <row r="6" spans="1:15" x14ac:dyDescent="0.2">
      <c r="A6" s="2" t="s">
        <v>8</v>
      </c>
      <c r="B6" s="3">
        <v>43.5</v>
      </c>
      <c r="C6" s="3">
        <v>46.5</v>
      </c>
      <c r="D6" s="3">
        <v>46.8</v>
      </c>
      <c r="F6" s="2" t="s">
        <v>9</v>
      </c>
      <c r="G6" s="4">
        <f>MIN(B5:D7)</f>
        <v>39.6</v>
      </c>
      <c r="I6" s="2" t="s">
        <v>8</v>
      </c>
      <c r="J6" s="3">
        <v>701.5</v>
      </c>
      <c r="K6" s="3">
        <v>819.8</v>
      </c>
      <c r="L6" s="3">
        <v>811.4</v>
      </c>
      <c r="N6" s="2" t="s">
        <v>9</v>
      </c>
      <c r="O6" s="4">
        <f>MIN(J5:L7)</f>
        <v>651.5</v>
      </c>
    </row>
    <row r="7" spans="1:15" x14ac:dyDescent="0.2">
      <c r="A7" s="2" t="s">
        <v>10</v>
      </c>
      <c r="B7" s="3">
        <v>42</v>
      </c>
      <c r="C7" s="3">
        <v>46.4</v>
      </c>
      <c r="D7" s="3">
        <v>46.9</v>
      </c>
      <c r="F7" s="2" t="s">
        <v>11</v>
      </c>
      <c r="G7" s="4">
        <f>MAX(B5:D7)</f>
        <v>46.9</v>
      </c>
      <c r="I7" s="2" t="s">
        <v>10</v>
      </c>
      <c r="J7" s="3">
        <v>677</v>
      </c>
      <c r="K7" s="3">
        <v>796</v>
      </c>
      <c r="L7" s="3">
        <v>749.1</v>
      </c>
      <c r="N7" s="2" t="s">
        <v>11</v>
      </c>
      <c r="O7" s="4">
        <f>MAX(J5:L7)</f>
        <v>819.8</v>
      </c>
    </row>
    <row r="8" spans="1:15" x14ac:dyDescent="0.2">
      <c r="F8" s="2" t="s">
        <v>12</v>
      </c>
      <c r="G8" s="4">
        <f>G7-G6</f>
        <v>7.2999999999999972</v>
      </c>
      <c r="N8" s="2" t="s">
        <v>12</v>
      </c>
      <c r="O8" s="4">
        <f>O7-O6</f>
        <v>168.29999999999995</v>
      </c>
    </row>
    <row r="9" spans="1:15" x14ac:dyDescent="0.2">
      <c r="A9" s="5" t="s">
        <v>13</v>
      </c>
      <c r="F9" s="12" t="s">
        <v>67</v>
      </c>
      <c r="G9" s="13">
        <f>_xlfn.STDEV.S(B5:D7)</f>
        <v>2.5349775366087774</v>
      </c>
      <c r="N9" s="12" t="s">
        <v>66</v>
      </c>
      <c r="O9" s="13">
        <f>((MAX(J5:L7)-MIN(J5:L7))/(MAX(J5:L7)+MIN(J5:L7)))*100</f>
        <v>11.438863590022425</v>
      </c>
    </row>
    <row r="10" spans="1:15" x14ac:dyDescent="0.2">
      <c r="A10" s="6" t="s">
        <v>14</v>
      </c>
      <c r="C10" s="34" t="s">
        <v>108</v>
      </c>
      <c r="D10" s="35"/>
      <c r="E10" s="35"/>
      <c r="F10" s="35"/>
      <c r="G10" s="35"/>
    </row>
    <row r="11" spans="1:15" x14ac:dyDescent="0.2">
      <c r="A11" s="6" t="s">
        <v>16</v>
      </c>
      <c r="C11" s="34" t="s">
        <v>120</v>
      </c>
      <c r="D11" s="35"/>
      <c r="E11" s="35"/>
      <c r="F11" s="35"/>
      <c r="G11" s="35"/>
    </row>
    <row r="12" spans="1:15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15" x14ac:dyDescent="0.2">
      <c r="A13" s="6" t="s">
        <v>19</v>
      </c>
      <c r="C13" s="34" t="s">
        <v>115</v>
      </c>
      <c r="D13" s="35"/>
      <c r="E13" s="35"/>
      <c r="F13" s="35"/>
      <c r="G13" s="35"/>
    </row>
    <row r="15" spans="1:15" x14ac:dyDescent="0.2">
      <c r="A15" s="36" t="s">
        <v>20</v>
      </c>
      <c r="B15" s="37"/>
      <c r="C15" s="37"/>
      <c r="D15" s="37"/>
      <c r="I15" s="36" t="s">
        <v>21</v>
      </c>
      <c r="J15" s="37"/>
      <c r="K15" s="37"/>
      <c r="L15" s="37"/>
    </row>
    <row r="16" spans="1:15" x14ac:dyDescent="0.2">
      <c r="A16" s="1" t="s">
        <v>1</v>
      </c>
      <c r="B16" s="1" t="s">
        <v>2</v>
      </c>
      <c r="C16" s="1" t="s">
        <v>3</v>
      </c>
      <c r="D16" s="1" t="s">
        <v>4</v>
      </c>
      <c r="F16" s="38" t="s">
        <v>5</v>
      </c>
      <c r="G16" s="37"/>
      <c r="I16" s="1" t="s">
        <v>1</v>
      </c>
      <c r="J16" s="1" t="s">
        <v>2</v>
      </c>
      <c r="K16" s="1" t="s">
        <v>3</v>
      </c>
      <c r="L16" s="1" t="s">
        <v>4</v>
      </c>
      <c r="N16" s="38" t="s">
        <v>5</v>
      </c>
      <c r="O16" s="37"/>
    </row>
    <row r="17" spans="1:15" x14ac:dyDescent="0.2">
      <c r="A17" s="2" t="s">
        <v>6</v>
      </c>
      <c r="B17" s="3">
        <v>43.6</v>
      </c>
      <c r="C17" s="3">
        <v>50.7</v>
      </c>
      <c r="D17" s="3">
        <v>51.5</v>
      </c>
      <c r="F17" s="2" t="s">
        <v>7</v>
      </c>
      <c r="G17" s="4">
        <f>AVERAGE(B17:D19)</f>
        <v>50.622222222222227</v>
      </c>
      <c r="I17" s="2" t="s">
        <v>6</v>
      </c>
      <c r="J17" s="3">
        <v>632.1</v>
      </c>
      <c r="K17" s="3">
        <v>764.8</v>
      </c>
      <c r="L17" s="3">
        <v>740.2</v>
      </c>
      <c r="N17" s="2" t="s">
        <v>7</v>
      </c>
      <c r="O17" s="4">
        <f>AVERAGE(J17:L19)</f>
        <v>749.40000000000009</v>
      </c>
    </row>
    <row r="18" spans="1:15" x14ac:dyDescent="0.2">
      <c r="A18" s="2" t="s">
        <v>8</v>
      </c>
      <c r="B18" s="3">
        <v>48.4</v>
      </c>
      <c r="C18" s="3">
        <v>54.8</v>
      </c>
      <c r="D18" s="3">
        <v>53.5</v>
      </c>
      <c r="F18" s="2" t="s">
        <v>9</v>
      </c>
      <c r="G18" s="4">
        <f>MIN(B17:D19)</f>
        <v>43.6</v>
      </c>
      <c r="I18" s="2" t="s">
        <v>8</v>
      </c>
      <c r="J18" s="3">
        <v>678.4</v>
      </c>
      <c r="K18" s="3">
        <v>821.8</v>
      </c>
      <c r="L18" s="3">
        <v>850.2</v>
      </c>
      <c r="N18" s="2" t="s">
        <v>9</v>
      </c>
      <c r="O18" s="4">
        <f>MIN(J17:L19)</f>
        <v>632.1</v>
      </c>
    </row>
    <row r="19" spans="1:15" x14ac:dyDescent="0.2">
      <c r="A19" s="2" t="s">
        <v>10</v>
      </c>
      <c r="B19" s="3">
        <v>47.5</v>
      </c>
      <c r="C19" s="3">
        <v>52.8</v>
      </c>
      <c r="D19" s="3">
        <v>52.8</v>
      </c>
      <c r="F19" s="2" t="s">
        <v>11</v>
      </c>
      <c r="G19" s="4">
        <f>MAX(B17:D19)</f>
        <v>54.8</v>
      </c>
      <c r="I19" s="2" t="s">
        <v>10</v>
      </c>
      <c r="J19" s="3">
        <v>658.5</v>
      </c>
      <c r="K19" s="3">
        <v>800</v>
      </c>
      <c r="L19" s="3">
        <v>798.6</v>
      </c>
      <c r="N19" s="2" t="s">
        <v>11</v>
      </c>
      <c r="O19" s="4">
        <f>MAX(J17:L19)</f>
        <v>850.2</v>
      </c>
    </row>
    <row r="20" spans="1:15" x14ac:dyDescent="0.2">
      <c r="F20" s="2" t="s">
        <v>12</v>
      </c>
      <c r="G20" s="4">
        <f>G19-G18</f>
        <v>11.199999999999996</v>
      </c>
      <c r="N20" s="2" t="s">
        <v>12</v>
      </c>
      <c r="O20" s="4">
        <f>O19-O18</f>
        <v>218.10000000000002</v>
      </c>
    </row>
    <row r="21" spans="1:15" x14ac:dyDescent="0.2">
      <c r="A21" s="5" t="s">
        <v>13</v>
      </c>
      <c r="F21" s="12" t="s">
        <v>67</v>
      </c>
      <c r="G21" s="13">
        <f>_xlfn.STDEV.S(B17:D19)</f>
        <v>3.5354553376396143</v>
      </c>
      <c r="N21" s="12" t="s">
        <v>66</v>
      </c>
      <c r="O21" s="13">
        <f>((MAX(J17:L19)-MIN(J17:L19))/(MAX(J17:L19)+MIN(J17:L19)))*100</f>
        <v>14.713620724549687</v>
      </c>
    </row>
    <row r="22" spans="1:15" x14ac:dyDescent="0.2">
      <c r="A22" s="6" t="s">
        <v>14</v>
      </c>
      <c r="C22" s="34" t="s">
        <v>108</v>
      </c>
      <c r="D22" s="35"/>
      <c r="E22" s="35"/>
      <c r="F22" s="35"/>
      <c r="G22" s="35"/>
    </row>
    <row r="23" spans="1:15" x14ac:dyDescent="0.2">
      <c r="A23" s="6" t="s">
        <v>16</v>
      </c>
      <c r="C23" s="34" t="s">
        <v>120</v>
      </c>
      <c r="D23" s="35"/>
      <c r="E23" s="35"/>
      <c r="F23" s="35"/>
      <c r="G23" s="35"/>
    </row>
    <row r="24" spans="1:15" x14ac:dyDescent="0.2">
      <c r="A24" s="6" t="s">
        <v>18</v>
      </c>
      <c r="C24" s="34" t="s">
        <v>53</v>
      </c>
      <c r="D24" s="35"/>
      <c r="E24" s="35"/>
      <c r="F24" s="35"/>
      <c r="G24" s="35"/>
    </row>
    <row r="25" spans="1:15" x14ac:dyDescent="0.2">
      <c r="A25" s="6" t="s">
        <v>19</v>
      </c>
      <c r="C25" s="34" t="s">
        <v>116</v>
      </c>
      <c r="D25" s="35"/>
      <c r="E25" s="35"/>
      <c r="F25" s="35"/>
      <c r="G25" s="35"/>
    </row>
    <row r="27" spans="1:15" x14ac:dyDescent="0.2">
      <c r="A27" s="36" t="s">
        <v>20</v>
      </c>
      <c r="B27" s="37"/>
      <c r="C27" s="37"/>
      <c r="D27" s="37"/>
      <c r="I27" s="36" t="s">
        <v>21</v>
      </c>
      <c r="J27" s="37"/>
      <c r="K27" s="37"/>
      <c r="L27" s="37"/>
    </row>
    <row r="28" spans="1:15" x14ac:dyDescent="0.2">
      <c r="A28" s="1" t="s">
        <v>1</v>
      </c>
      <c r="B28" s="1" t="s">
        <v>2</v>
      </c>
      <c r="C28" s="1" t="s">
        <v>3</v>
      </c>
      <c r="D28" s="1" t="s">
        <v>4</v>
      </c>
      <c r="F28" s="38" t="s">
        <v>5</v>
      </c>
      <c r="G28" s="37"/>
      <c r="I28" s="1" t="s">
        <v>1</v>
      </c>
      <c r="J28" s="1" t="s">
        <v>2</v>
      </c>
      <c r="K28" s="1" t="s">
        <v>3</v>
      </c>
      <c r="L28" s="1" t="s">
        <v>4</v>
      </c>
      <c r="N28" s="38" t="s">
        <v>5</v>
      </c>
      <c r="O28" s="37"/>
    </row>
    <row r="29" spans="1:15" x14ac:dyDescent="0.2">
      <c r="A29" s="2" t="s">
        <v>6</v>
      </c>
      <c r="B29" s="3">
        <v>49</v>
      </c>
      <c r="C29" s="3">
        <v>50.4</v>
      </c>
      <c r="D29" s="3">
        <v>51.3</v>
      </c>
      <c r="F29" s="2" t="s">
        <v>7</v>
      </c>
      <c r="G29" s="4">
        <f>AVERAGE(B29:D31)</f>
        <v>50.711111111111109</v>
      </c>
      <c r="I29" s="2" t="s">
        <v>6</v>
      </c>
      <c r="J29" s="3">
        <v>646.5</v>
      </c>
      <c r="K29" s="3">
        <v>757</v>
      </c>
      <c r="L29" s="3">
        <v>739.4</v>
      </c>
      <c r="N29" s="2" t="s">
        <v>7</v>
      </c>
      <c r="O29" s="4">
        <f>AVERAGE(J29:L31)</f>
        <v>749.51111111111118</v>
      </c>
    </row>
    <row r="30" spans="1:15" x14ac:dyDescent="0.2">
      <c r="A30" s="2" t="s">
        <v>8</v>
      </c>
      <c r="B30" s="3">
        <v>48.5</v>
      </c>
      <c r="C30" s="3">
        <v>51.7</v>
      </c>
      <c r="D30" s="3">
        <v>52.7</v>
      </c>
      <c r="F30" s="2" t="s">
        <v>9</v>
      </c>
      <c r="G30" s="4">
        <f>MIN(B29:D31)</f>
        <v>47.5</v>
      </c>
      <c r="I30" s="2" t="s">
        <v>8</v>
      </c>
      <c r="J30" s="3">
        <v>674.4</v>
      </c>
      <c r="K30" s="3">
        <v>839.2</v>
      </c>
      <c r="L30" s="3">
        <v>830.3</v>
      </c>
      <c r="N30" s="2" t="s">
        <v>9</v>
      </c>
      <c r="O30" s="4">
        <f>MIN(J29:L31)</f>
        <v>646.5</v>
      </c>
    </row>
    <row r="31" spans="1:15" x14ac:dyDescent="0.2">
      <c r="A31" s="2" t="s">
        <v>10</v>
      </c>
      <c r="B31" s="3">
        <v>47.5</v>
      </c>
      <c r="C31" s="3">
        <v>52.5</v>
      </c>
      <c r="D31" s="3">
        <v>52.8</v>
      </c>
      <c r="F31" s="2" t="s">
        <v>11</v>
      </c>
      <c r="G31" s="4">
        <f>MAX(B29:D31)</f>
        <v>52.8</v>
      </c>
      <c r="I31" s="2" t="s">
        <v>10</v>
      </c>
      <c r="J31" s="3">
        <v>662.7</v>
      </c>
      <c r="K31" s="3">
        <v>799.5</v>
      </c>
      <c r="L31" s="3">
        <v>796.6</v>
      </c>
      <c r="N31" s="2" t="s">
        <v>11</v>
      </c>
      <c r="O31" s="4">
        <f>MAX(J29:L31)</f>
        <v>839.2</v>
      </c>
    </row>
    <row r="32" spans="1:15" x14ac:dyDescent="0.2">
      <c r="F32" s="2" t="s">
        <v>12</v>
      </c>
      <c r="G32" s="4">
        <f>G31-G30</f>
        <v>5.2999999999999972</v>
      </c>
      <c r="N32" s="2" t="s">
        <v>12</v>
      </c>
      <c r="O32" s="4">
        <f>O31-O30</f>
        <v>192.70000000000005</v>
      </c>
    </row>
    <row r="33" spans="1:16" x14ac:dyDescent="0.2">
      <c r="A33" s="5" t="s">
        <v>13</v>
      </c>
      <c r="F33" s="12" t="s">
        <v>67</v>
      </c>
      <c r="G33" s="13">
        <f>_xlfn.STDEV.S(B29:D31)</f>
        <v>1.970687979135995</v>
      </c>
      <c r="N33" s="12" t="s">
        <v>66</v>
      </c>
      <c r="O33" s="13">
        <f>((MAX(J29:L31)-MIN(J29:L31))/(MAX(J29:L31)+MIN(J29:L31)))*100</f>
        <v>12.970317022279062</v>
      </c>
    </row>
    <row r="34" spans="1:16" x14ac:dyDescent="0.2">
      <c r="A34" s="6" t="s">
        <v>14</v>
      </c>
      <c r="C34" s="34" t="s">
        <v>108</v>
      </c>
      <c r="D34" s="35"/>
      <c r="E34" s="35"/>
      <c r="F34" s="35"/>
      <c r="G34" s="35"/>
      <c r="H34" t="s">
        <v>121</v>
      </c>
    </row>
    <row r="35" spans="1:16" x14ac:dyDescent="0.2">
      <c r="A35" s="6" t="s">
        <v>16</v>
      </c>
      <c r="C35" s="34" t="s">
        <v>120</v>
      </c>
      <c r="D35" s="35"/>
      <c r="E35" s="35"/>
      <c r="F35" s="35"/>
      <c r="G35" s="35"/>
    </row>
    <row r="36" spans="1:16" x14ac:dyDescent="0.2">
      <c r="A36" s="6" t="s">
        <v>18</v>
      </c>
      <c r="C36" s="34" t="s">
        <v>53</v>
      </c>
      <c r="D36" s="35"/>
      <c r="E36" s="35"/>
      <c r="F36" s="35"/>
      <c r="G36" s="35"/>
    </row>
    <row r="37" spans="1:16" x14ac:dyDescent="0.2">
      <c r="A37" s="6" t="s">
        <v>19</v>
      </c>
      <c r="C37" s="34" t="s">
        <v>117</v>
      </c>
      <c r="D37" s="35"/>
      <c r="E37" s="35"/>
      <c r="F37" s="35"/>
      <c r="G37" s="35"/>
    </row>
    <row r="39" spans="1:16" x14ac:dyDescent="0.2">
      <c r="A39" s="43" t="s">
        <v>20</v>
      </c>
      <c r="B39" s="43"/>
      <c r="C39" s="43"/>
      <c r="D39" s="43"/>
      <c r="E39" s="14"/>
      <c r="F39" s="14"/>
      <c r="G39" s="14"/>
      <c r="H39" s="14"/>
      <c r="I39" s="43" t="s">
        <v>21</v>
      </c>
      <c r="J39" s="43"/>
      <c r="K39" s="43"/>
      <c r="L39" s="43"/>
      <c r="M39" s="14"/>
      <c r="N39" s="14"/>
      <c r="O39" s="14"/>
      <c r="P39" s="14"/>
    </row>
    <row r="40" spans="1:16" x14ac:dyDescent="0.2">
      <c r="A40" s="15" t="s">
        <v>1</v>
      </c>
      <c r="B40" s="16" t="s">
        <v>2</v>
      </c>
      <c r="C40" s="16" t="s">
        <v>3</v>
      </c>
      <c r="D40" s="16" t="s">
        <v>4</v>
      </c>
      <c r="E40" s="14"/>
      <c r="F40" s="47" t="s">
        <v>5</v>
      </c>
      <c r="G40" s="48"/>
      <c r="H40" s="14"/>
      <c r="I40" s="15" t="s">
        <v>1</v>
      </c>
      <c r="J40" s="16" t="s">
        <v>2</v>
      </c>
      <c r="K40" s="16" t="s">
        <v>3</v>
      </c>
      <c r="L40" s="16" t="s">
        <v>4</v>
      </c>
      <c r="M40" s="14"/>
      <c r="N40" s="47" t="s">
        <v>5</v>
      </c>
      <c r="O40" s="48"/>
      <c r="P40" s="14"/>
    </row>
    <row r="41" spans="1:16" x14ac:dyDescent="0.2">
      <c r="A41" s="17" t="s">
        <v>6</v>
      </c>
      <c r="B41" s="18">
        <v>48</v>
      </c>
      <c r="C41" s="18">
        <v>50</v>
      </c>
      <c r="D41" s="18">
        <v>50.2</v>
      </c>
      <c r="E41" s="14"/>
      <c r="F41" s="17" t="s">
        <v>7</v>
      </c>
      <c r="G41" s="19">
        <f>AVERAGE(B41:D43)</f>
        <v>50.366666666666667</v>
      </c>
      <c r="H41" s="14"/>
      <c r="I41" s="17" t="s">
        <v>6</v>
      </c>
      <c r="J41" s="18">
        <v>624.20000000000005</v>
      </c>
      <c r="K41" s="18">
        <v>782.8</v>
      </c>
      <c r="L41" s="18">
        <v>751.1</v>
      </c>
      <c r="M41" s="14"/>
      <c r="N41" s="17" t="s">
        <v>7</v>
      </c>
      <c r="O41" s="19">
        <f>AVERAGE(J41:L43)</f>
        <v>750.11111111111097</v>
      </c>
      <c r="P41" s="14"/>
    </row>
    <row r="42" spans="1:16" x14ac:dyDescent="0.2">
      <c r="A42" s="20" t="s">
        <v>8</v>
      </c>
      <c r="B42" s="21">
        <v>48.5</v>
      </c>
      <c r="C42" s="21">
        <v>52</v>
      </c>
      <c r="D42" s="21">
        <v>53.6</v>
      </c>
      <c r="E42" s="14"/>
      <c r="F42" s="20" t="s">
        <v>9</v>
      </c>
      <c r="G42" s="22">
        <v>0</v>
      </c>
      <c r="H42" s="14"/>
      <c r="I42" s="20" t="s">
        <v>8</v>
      </c>
      <c r="J42" s="21">
        <v>669.1</v>
      </c>
      <c r="K42" s="21">
        <v>835.6</v>
      </c>
      <c r="L42" s="21">
        <v>828.4</v>
      </c>
      <c r="M42" s="14"/>
      <c r="N42" s="20" t="s">
        <v>9</v>
      </c>
      <c r="O42" s="22">
        <v>0</v>
      </c>
      <c r="P42" s="14"/>
    </row>
    <row r="43" spans="1:16" x14ac:dyDescent="0.2">
      <c r="A43" s="20" t="s">
        <v>10</v>
      </c>
      <c r="B43" s="21">
        <v>47.5</v>
      </c>
      <c r="C43" s="21">
        <v>50.8</v>
      </c>
      <c r="D43" s="21">
        <v>52.7</v>
      </c>
      <c r="E43" s="14"/>
      <c r="F43" s="20" t="s">
        <v>11</v>
      </c>
      <c r="G43" s="22">
        <v>0</v>
      </c>
      <c r="H43" s="14"/>
      <c r="I43" s="20" t="s">
        <v>10</v>
      </c>
      <c r="J43" s="21">
        <v>655.9</v>
      </c>
      <c r="K43" s="21">
        <v>794.9</v>
      </c>
      <c r="L43" s="21">
        <v>809</v>
      </c>
      <c r="M43" s="14"/>
      <c r="N43" s="20" t="s">
        <v>11</v>
      </c>
      <c r="O43" s="22">
        <v>0</v>
      </c>
      <c r="P43" s="14"/>
    </row>
    <row r="44" spans="1:16" x14ac:dyDescent="0.2">
      <c r="A44" s="14"/>
      <c r="B44" s="14"/>
      <c r="C44" s="14"/>
      <c r="D44" s="14"/>
      <c r="E44" s="14"/>
      <c r="F44" s="20" t="s">
        <v>12</v>
      </c>
      <c r="G44" s="22">
        <v>0</v>
      </c>
      <c r="H44" s="14"/>
      <c r="I44" s="14"/>
      <c r="J44" s="14"/>
      <c r="K44" s="14"/>
      <c r="L44" s="14"/>
      <c r="M44" s="14"/>
      <c r="N44" s="20" t="s">
        <v>12</v>
      </c>
      <c r="O44" s="22">
        <v>0</v>
      </c>
      <c r="P44" s="14"/>
    </row>
    <row r="45" spans="1:16" x14ac:dyDescent="0.2">
      <c r="A45" s="23" t="s">
        <v>13</v>
      </c>
      <c r="B45" s="23"/>
      <c r="C45" s="23"/>
      <c r="D45" s="14"/>
      <c r="E45" s="14"/>
      <c r="F45" s="24" t="s">
        <v>67</v>
      </c>
      <c r="G45" s="25" t="e">
        <v>#DIV/0!</v>
      </c>
      <c r="H45" s="14"/>
      <c r="I45" s="14"/>
      <c r="J45" s="14"/>
      <c r="K45" s="14"/>
      <c r="L45" s="14"/>
      <c r="M45" s="14"/>
      <c r="N45" s="24" t="s">
        <v>66</v>
      </c>
      <c r="O45" s="25" t="e">
        <v>#DIV/0!</v>
      </c>
      <c r="P45" s="14"/>
    </row>
    <row r="46" spans="1:16" x14ac:dyDescent="0.2">
      <c r="A46" s="26" t="s">
        <v>14</v>
      </c>
      <c r="B46" s="26"/>
      <c r="C46" s="44" t="s">
        <v>108</v>
      </c>
      <c r="D46" s="45"/>
      <c r="E46" s="45"/>
      <c r="F46" s="45"/>
      <c r="G46" s="46"/>
      <c r="H46" s="14" t="s">
        <v>123</v>
      </c>
      <c r="I46" s="14"/>
      <c r="J46" s="14"/>
      <c r="K46" s="14"/>
      <c r="L46" s="14"/>
      <c r="M46" s="14"/>
      <c r="N46" s="14"/>
      <c r="O46" s="14"/>
      <c r="P46" s="14"/>
    </row>
    <row r="47" spans="1:16" x14ac:dyDescent="0.2">
      <c r="A47" s="26" t="s">
        <v>16</v>
      </c>
      <c r="B47" s="14"/>
      <c r="C47" s="44" t="s">
        <v>120</v>
      </c>
      <c r="D47" s="45"/>
      <c r="E47" s="45"/>
      <c r="F47" s="45"/>
      <c r="G47" s="46"/>
      <c r="H47" s="14"/>
      <c r="I47" s="14"/>
      <c r="J47" s="14" t="s">
        <v>122</v>
      </c>
      <c r="K47" s="14"/>
      <c r="L47" s="14"/>
      <c r="M47" s="14"/>
      <c r="N47" s="14"/>
      <c r="O47" s="14"/>
      <c r="P47" s="14"/>
    </row>
    <row r="48" spans="1:16" x14ac:dyDescent="0.2">
      <c r="A48" s="26" t="s">
        <v>18</v>
      </c>
      <c r="B48" s="26"/>
      <c r="C48" s="44" t="s">
        <v>53</v>
      </c>
      <c r="D48" s="45"/>
      <c r="E48" s="45"/>
      <c r="F48" s="45"/>
      <c r="G48" s="46"/>
      <c r="H48" s="14"/>
      <c r="I48" s="14"/>
      <c r="J48" s="14"/>
      <c r="K48" s="14"/>
      <c r="L48" s="14"/>
      <c r="M48" s="14"/>
      <c r="N48" s="14"/>
      <c r="O48" s="14"/>
      <c r="P48" s="14"/>
    </row>
    <row r="49" spans="1:16" x14ac:dyDescent="0.2">
      <c r="A49" s="26" t="s">
        <v>19</v>
      </c>
      <c r="B49" s="26"/>
      <c r="C49" s="44" t="s">
        <v>118</v>
      </c>
      <c r="D49" s="45"/>
      <c r="E49" s="45"/>
      <c r="F49" s="45"/>
      <c r="G49" s="46"/>
      <c r="H49" s="14"/>
      <c r="I49" s="14"/>
      <c r="J49" s="14"/>
      <c r="K49" s="14"/>
      <c r="L49" s="14"/>
      <c r="M49" s="14"/>
      <c r="N49" s="14"/>
      <c r="O49" s="14"/>
      <c r="P49" s="14"/>
    </row>
    <row r="51" spans="1:16" x14ac:dyDescent="0.2">
      <c r="A51" s="43" t="s">
        <v>20</v>
      </c>
      <c r="B51" s="43"/>
      <c r="C51" s="43"/>
      <c r="D51" s="43"/>
      <c r="E51" s="14"/>
      <c r="F51" s="14"/>
      <c r="G51" s="14"/>
      <c r="H51" s="14"/>
      <c r="I51" s="43" t="s">
        <v>21</v>
      </c>
      <c r="J51" s="43"/>
      <c r="K51" s="43"/>
      <c r="L51" s="43"/>
      <c r="M51" s="14"/>
      <c r="N51" s="14"/>
      <c r="O51" s="14"/>
      <c r="P51" s="14"/>
    </row>
    <row r="52" spans="1:16" x14ac:dyDescent="0.2">
      <c r="A52" s="15" t="s">
        <v>1</v>
      </c>
      <c r="B52" s="16" t="s">
        <v>2</v>
      </c>
      <c r="C52" s="16" t="s">
        <v>3</v>
      </c>
      <c r="D52" s="16" t="s">
        <v>4</v>
      </c>
      <c r="E52" s="14"/>
      <c r="F52" s="47" t="s">
        <v>5</v>
      </c>
      <c r="G52" s="48"/>
      <c r="H52" s="14"/>
      <c r="I52" s="15" t="s">
        <v>1</v>
      </c>
      <c r="J52" s="16" t="s">
        <v>2</v>
      </c>
      <c r="K52" s="16" t="s">
        <v>3</v>
      </c>
      <c r="L52" s="16" t="s">
        <v>4</v>
      </c>
      <c r="M52" s="14"/>
      <c r="N52" s="47" t="s">
        <v>5</v>
      </c>
      <c r="O52" s="48"/>
      <c r="P52" s="14"/>
    </row>
    <row r="53" spans="1:16" x14ac:dyDescent="0.2">
      <c r="A53" s="17" t="s">
        <v>6</v>
      </c>
      <c r="B53" s="18">
        <v>45.8</v>
      </c>
      <c r="C53" s="18">
        <v>51.5</v>
      </c>
      <c r="D53" s="18">
        <v>51.7</v>
      </c>
      <c r="E53" s="14"/>
      <c r="F53" s="17" t="s">
        <v>7</v>
      </c>
      <c r="G53" s="19">
        <f>AVERAGE(B53:D55)</f>
        <v>50.855555555555554</v>
      </c>
      <c r="H53" s="14"/>
      <c r="I53" s="17" t="s">
        <v>6</v>
      </c>
      <c r="J53" s="18">
        <v>639.4</v>
      </c>
      <c r="K53" s="18">
        <v>776.2</v>
      </c>
      <c r="L53" s="18">
        <v>730.1</v>
      </c>
      <c r="M53" s="14"/>
      <c r="N53" s="17" t="s">
        <v>7</v>
      </c>
      <c r="O53" s="19">
        <f>AVERAGE(J53:L55)</f>
        <v>749.73333333333323</v>
      </c>
      <c r="P53" s="14"/>
    </row>
    <row r="54" spans="1:16" x14ac:dyDescent="0.2">
      <c r="A54" s="20" t="s">
        <v>8</v>
      </c>
      <c r="B54" s="21">
        <v>50.5</v>
      </c>
      <c r="C54" s="21">
        <v>53.4</v>
      </c>
      <c r="D54" s="21">
        <v>52</v>
      </c>
      <c r="E54" s="14"/>
      <c r="F54" s="20" t="s">
        <v>9</v>
      </c>
      <c r="G54" s="22">
        <v>0</v>
      </c>
      <c r="H54" s="14"/>
      <c r="I54" s="20" t="s">
        <v>8</v>
      </c>
      <c r="J54" s="21">
        <v>664.5</v>
      </c>
      <c r="K54" s="21">
        <v>834.3</v>
      </c>
      <c r="L54" s="21">
        <v>847.7</v>
      </c>
      <c r="M54" s="14"/>
      <c r="N54" s="20" t="s">
        <v>9</v>
      </c>
      <c r="O54" s="22">
        <v>0</v>
      </c>
      <c r="P54" s="14"/>
    </row>
    <row r="55" spans="1:16" x14ac:dyDescent="0.2">
      <c r="A55" s="20" t="s">
        <v>10</v>
      </c>
      <c r="B55" s="21">
        <v>47.8</v>
      </c>
      <c r="C55" s="21">
        <v>52</v>
      </c>
      <c r="D55" s="21">
        <v>53</v>
      </c>
      <c r="E55" s="14"/>
      <c r="F55" s="20" t="s">
        <v>11</v>
      </c>
      <c r="G55" s="22">
        <v>0</v>
      </c>
      <c r="H55" s="14"/>
      <c r="I55" s="20" t="s">
        <v>10</v>
      </c>
      <c r="J55" s="21">
        <v>663.4</v>
      </c>
      <c r="K55" s="21">
        <v>791.4</v>
      </c>
      <c r="L55" s="21">
        <v>800.6</v>
      </c>
      <c r="M55" s="14"/>
      <c r="N55" s="20" t="s">
        <v>11</v>
      </c>
      <c r="O55" s="22">
        <v>0</v>
      </c>
      <c r="P55" s="14"/>
    </row>
    <row r="56" spans="1:16" x14ac:dyDescent="0.2">
      <c r="A56" s="14"/>
      <c r="B56" s="14"/>
      <c r="C56" s="14"/>
      <c r="D56" s="14"/>
      <c r="E56" s="14"/>
      <c r="F56" s="20" t="s">
        <v>12</v>
      </c>
      <c r="G56" s="22">
        <v>0</v>
      </c>
      <c r="H56" s="14"/>
      <c r="I56" s="14"/>
      <c r="J56" s="14"/>
      <c r="K56" s="14"/>
      <c r="L56" s="14"/>
      <c r="M56" s="14"/>
      <c r="N56" s="20" t="s">
        <v>12</v>
      </c>
      <c r="O56" s="22">
        <v>0</v>
      </c>
      <c r="P56" s="14"/>
    </row>
    <row r="57" spans="1:16" x14ac:dyDescent="0.2">
      <c r="A57" s="23" t="s">
        <v>13</v>
      </c>
      <c r="B57" s="23"/>
      <c r="C57" s="23"/>
      <c r="D57" s="14"/>
      <c r="E57" s="14"/>
      <c r="F57" s="24" t="s">
        <v>67</v>
      </c>
      <c r="G57" s="25" t="e">
        <v>#DIV/0!</v>
      </c>
      <c r="H57" s="14"/>
      <c r="I57" s="14"/>
      <c r="J57" s="14"/>
      <c r="K57" s="14"/>
      <c r="L57" s="14"/>
      <c r="M57" s="14"/>
      <c r="N57" s="24" t="s">
        <v>66</v>
      </c>
      <c r="O57" s="25" t="e">
        <v>#DIV/0!</v>
      </c>
      <c r="P57" s="14"/>
    </row>
    <row r="58" spans="1:16" x14ac:dyDescent="0.2">
      <c r="A58" s="26" t="s">
        <v>14</v>
      </c>
      <c r="B58" s="26"/>
      <c r="C58" s="44" t="s">
        <v>108</v>
      </c>
      <c r="D58" s="45"/>
      <c r="E58" s="45"/>
      <c r="F58" s="45"/>
      <c r="G58" s="46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">
      <c r="A59" s="26" t="s">
        <v>16</v>
      </c>
      <c r="B59" s="14"/>
      <c r="C59" s="44" t="s">
        <v>120</v>
      </c>
      <c r="D59" s="45"/>
      <c r="E59" s="45"/>
      <c r="F59" s="45"/>
      <c r="G59" s="46"/>
      <c r="H59" s="14" t="s">
        <v>124</v>
      </c>
      <c r="I59" s="14"/>
      <c r="J59" s="14"/>
      <c r="K59" s="14"/>
      <c r="L59" s="14"/>
      <c r="M59" s="14"/>
      <c r="N59" s="14"/>
      <c r="O59" s="14"/>
      <c r="P59" s="14"/>
    </row>
    <row r="60" spans="1:16" x14ac:dyDescent="0.2">
      <c r="A60" s="26" t="s">
        <v>18</v>
      </c>
      <c r="B60" s="26"/>
      <c r="C60" s="44" t="s">
        <v>53</v>
      </c>
      <c r="D60" s="45"/>
      <c r="E60" s="45"/>
      <c r="F60" s="45"/>
      <c r="G60" s="46"/>
      <c r="H60" s="14"/>
      <c r="I60" s="14"/>
      <c r="J60" s="14"/>
      <c r="K60" s="14"/>
      <c r="L60" s="14"/>
      <c r="M60" s="14"/>
      <c r="N60" s="14"/>
      <c r="O60" s="14"/>
      <c r="P60" s="14"/>
    </row>
    <row r="61" spans="1:16" x14ac:dyDescent="0.2">
      <c r="A61" s="26" t="s">
        <v>19</v>
      </c>
      <c r="B61" s="26"/>
      <c r="C61" s="44" t="s">
        <v>119</v>
      </c>
      <c r="D61" s="45"/>
      <c r="E61" s="45"/>
      <c r="F61" s="45"/>
      <c r="G61" s="46"/>
      <c r="H61" s="14"/>
      <c r="I61" s="14"/>
      <c r="J61" s="14"/>
      <c r="K61" s="14"/>
      <c r="L61" s="14"/>
      <c r="M61" s="14"/>
      <c r="N61" s="14"/>
      <c r="O61" s="14"/>
      <c r="P61" s="14"/>
    </row>
    <row r="63" spans="1:16" ht="21" x14ac:dyDescent="0.25">
      <c r="A63" s="31" t="s">
        <v>125</v>
      </c>
    </row>
    <row r="64" spans="1:16" x14ac:dyDescent="0.2">
      <c r="A64" s="36" t="s">
        <v>20</v>
      </c>
      <c r="B64" s="37"/>
      <c r="C64" s="37"/>
      <c r="D64" s="37"/>
      <c r="I64" s="36" t="s">
        <v>21</v>
      </c>
      <c r="J64" s="37"/>
      <c r="K64" s="37"/>
      <c r="L64" s="37"/>
    </row>
    <row r="65" spans="1:15" x14ac:dyDescent="0.2">
      <c r="A65" s="1" t="s">
        <v>1</v>
      </c>
      <c r="B65" s="1" t="s">
        <v>2</v>
      </c>
      <c r="C65" s="1" t="s">
        <v>3</v>
      </c>
      <c r="D65" s="1" t="s">
        <v>4</v>
      </c>
      <c r="F65" s="38" t="s">
        <v>5</v>
      </c>
      <c r="G65" s="37"/>
      <c r="I65" s="1" t="s">
        <v>1</v>
      </c>
      <c r="J65" s="1" t="s">
        <v>2</v>
      </c>
      <c r="K65" s="1" t="s">
        <v>3</v>
      </c>
      <c r="L65" s="1" t="s">
        <v>4</v>
      </c>
      <c r="N65" s="38" t="s">
        <v>5</v>
      </c>
      <c r="O65" s="37"/>
    </row>
    <row r="66" spans="1:15" x14ac:dyDescent="0.2">
      <c r="A66" s="2" t="s">
        <v>6</v>
      </c>
      <c r="B66" s="3"/>
      <c r="C66" s="3"/>
      <c r="D66" s="3"/>
      <c r="F66" s="2" t="s">
        <v>7</v>
      </c>
      <c r="G66" s="4" t="e">
        <f>AVERAGE(B66:D68)</f>
        <v>#DIV/0!</v>
      </c>
      <c r="I66" s="2" t="s">
        <v>6</v>
      </c>
      <c r="J66" s="3">
        <v>679.9</v>
      </c>
      <c r="K66" s="3">
        <v>828.4</v>
      </c>
      <c r="L66" s="3">
        <v>731.4</v>
      </c>
      <c r="N66" s="2" t="s">
        <v>7</v>
      </c>
      <c r="O66" s="4">
        <f>AVERAGE(J66:L68)</f>
        <v>747.96666666666658</v>
      </c>
    </row>
    <row r="67" spans="1:15" x14ac:dyDescent="0.2">
      <c r="A67" s="2" t="s">
        <v>8</v>
      </c>
      <c r="B67" s="3"/>
      <c r="C67" s="3"/>
      <c r="D67" s="3"/>
      <c r="F67" s="2" t="s">
        <v>9</v>
      </c>
      <c r="G67" s="4">
        <f>MIN(B66:D68)</f>
        <v>0</v>
      </c>
      <c r="I67" s="2" t="s">
        <v>8</v>
      </c>
      <c r="J67" s="3">
        <v>698.8</v>
      </c>
      <c r="K67" s="3">
        <v>850.8</v>
      </c>
      <c r="L67" s="3">
        <v>801.9</v>
      </c>
      <c r="N67" s="2" t="s">
        <v>9</v>
      </c>
      <c r="O67" s="4">
        <f>MIN(J66:L68)</f>
        <v>657.2</v>
      </c>
    </row>
    <row r="68" spans="1:15" x14ac:dyDescent="0.2">
      <c r="A68" s="2" t="s">
        <v>10</v>
      </c>
      <c r="B68" s="3"/>
      <c r="C68" s="3"/>
      <c r="D68" s="3"/>
      <c r="F68" s="2" t="s">
        <v>11</v>
      </c>
      <c r="G68" s="4">
        <f>MAX(B66:D68)</f>
        <v>0</v>
      </c>
      <c r="I68" s="2" t="s">
        <v>10</v>
      </c>
      <c r="J68" s="3">
        <v>657.2</v>
      </c>
      <c r="K68" s="3">
        <v>772.4</v>
      </c>
      <c r="L68" s="3">
        <v>710.9</v>
      </c>
      <c r="N68" s="2" t="s">
        <v>11</v>
      </c>
      <c r="O68" s="4">
        <f>MAX(J66:L68)</f>
        <v>850.8</v>
      </c>
    </row>
    <row r="69" spans="1:15" x14ac:dyDescent="0.2">
      <c r="F69" s="2" t="s">
        <v>12</v>
      </c>
      <c r="G69" s="4">
        <f>G68-G67</f>
        <v>0</v>
      </c>
      <c r="N69" s="2" t="s">
        <v>12</v>
      </c>
      <c r="O69" s="4">
        <f>O68-O67</f>
        <v>193.59999999999991</v>
      </c>
    </row>
    <row r="70" spans="1:15" x14ac:dyDescent="0.2">
      <c r="A70" s="5" t="s">
        <v>13</v>
      </c>
      <c r="F70" s="12" t="s">
        <v>67</v>
      </c>
      <c r="G70" s="13" t="e">
        <f>_xlfn.STDEV.S(B66:D68)</f>
        <v>#DIV/0!</v>
      </c>
      <c r="N70" s="12" t="s">
        <v>66</v>
      </c>
      <c r="O70" s="13">
        <f>((MAX(J66:L68)-MIN(J66:L68))/(MAX(J66:L68)+MIN(J66:L68)))*100</f>
        <v>12.838196286472142</v>
      </c>
    </row>
    <row r="71" spans="1:15" x14ac:dyDescent="0.2">
      <c r="A71" s="6" t="s">
        <v>14</v>
      </c>
      <c r="C71" s="34" t="s">
        <v>108</v>
      </c>
      <c r="D71" s="35"/>
      <c r="E71" s="35"/>
      <c r="F71" s="35"/>
      <c r="G71" s="35"/>
    </row>
    <row r="72" spans="1:15" x14ac:dyDescent="0.2">
      <c r="A72" s="6" t="s">
        <v>16</v>
      </c>
      <c r="C72" s="34" t="s">
        <v>120</v>
      </c>
      <c r="D72" s="35"/>
      <c r="E72" s="35"/>
      <c r="F72" s="35"/>
      <c r="G72" s="35"/>
    </row>
    <row r="73" spans="1:15" x14ac:dyDescent="0.2">
      <c r="A73" s="6" t="s">
        <v>18</v>
      </c>
      <c r="C73" s="34" t="s">
        <v>53</v>
      </c>
      <c r="D73" s="35"/>
      <c r="E73" s="35"/>
      <c r="F73" s="35"/>
      <c r="G73" s="35"/>
    </row>
    <row r="74" spans="1:15" x14ac:dyDescent="0.2">
      <c r="A74" s="6" t="s">
        <v>19</v>
      </c>
      <c r="C74" s="34" t="s">
        <v>117</v>
      </c>
      <c r="D74" s="35"/>
      <c r="E74" s="35"/>
      <c r="F74" s="35"/>
      <c r="G74" s="35"/>
    </row>
    <row r="76" spans="1:15" ht="21" x14ac:dyDescent="0.2">
      <c r="A76" s="30" t="s">
        <v>126</v>
      </c>
    </row>
    <row r="77" spans="1:15" x14ac:dyDescent="0.2">
      <c r="A77" s="36" t="s">
        <v>20</v>
      </c>
      <c r="B77" s="37"/>
      <c r="C77" s="37"/>
      <c r="D77" s="37"/>
      <c r="I77" s="36" t="s">
        <v>21</v>
      </c>
      <c r="J77" s="37"/>
      <c r="K77" s="37"/>
      <c r="L77" s="37"/>
    </row>
    <row r="78" spans="1:15" x14ac:dyDescent="0.2">
      <c r="A78" s="1" t="s">
        <v>1</v>
      </c>
      <c r="B78" s="1" t="s">
        <v>2</v>
      </c>
      <c r="C78" s="1" t="s">
        <v>3</v>
      </c>
      <c r="D78" s="1" t="s">
        <v>4</v>
      </c>
      <c r="F78" s="38" t="s">
        <v>5</v>
      </c>
      <c r="G78" s="37"/>
      <c r="I78" s="1" t="s">
        <v>1</v>
      </c>
      <c r="J78" s="1" t="s">
        <v>2</v>
      </c>
      <c r="K78" s="1" t="s">
        <v>3</v>
      </c>
      <c r="L78" s="1" t="s">
        <v>4</v>
      </c>
      <c r="N78" s="38" t="s">
        <v>5</v>
      </c>
      <c r="O78" s="37"/>
    </row>
    <row r="79" spans="1:15" x14ac:dyDescent="0.2">
      <c r="A79" s="2" t="s">
        <v>6</v>
      </c>
      <c r="B79" s="3"/>
      <c r="C79" s="3"/>
      <c r="D79" s="3"/>
      <c r="F79" s="2" t="s">
        <v>7</v>
      </c>
      <c r="G79" s="4" t="e">
        <f>AVERAGE(B79:D81)</f>
        <v>#DIV/0!</v>
      </c>
      <c r="I79" s="2" t="s">
        <v>6</v>
      </c>
      <c r="J79" s="3"/>
      <c r="K79" s="3"/>
      <c r="L79" s="3"/>
      <c r="N79" s="2" t="s">
        <v>7</v>
      </c>
      <c r="O79" s="4" t="e">
        <f>AVERAGE(J79:L81)</f>
        <v>#DIV/0!</v>
      </c>
    </row>
    <row r="80" spans="1:15" x14ac:dyDescent="0.2">
      <c r="A80" s="2" t="s">
        <v>8</v>
      </c>
      <c r="B80" s="3"/>
      <c r="C80" s="3"/>
      <c r="D80" s="3"/>
      <c r="F80" s="2" t="s">
        <v>9</v>
      </c>
      <c r="G80" s="4">
        <f>MIN(B79:D81)</f>
        <v>0</v>
      </c>
      <c r="I80" s="2" t="s">
        <v>8</v>
      </c>
      <c r="J80" s="3"/>
      <c r="K80" s="3"/>
      <c r="L80" s="3"/>
      <c r="N80" s="2" t="s">
        <v>9</v>
      </c>
      <c r="O80" s="4">
        <f>MIN(J79:L81)</f>
        <v>0</v>
      </c>
    </row>
    <row r="81" spans="1:15" x14ac:dyDescent="0.2">
      <c r="A81" s="2" t="s">
        <v>10</v>
      </c>
      <c r="B81" s="3"/>
      <c r="C81" s="3"/>
      <c r="D81" s="3"/>
      <c r="F81" s="2" t="s">
        <v>11</v>
      </c>
      <c r="G81" s="4">
        <f>MAX(B79:D81)</f>
        <v>0</v>
      </c>
      <c r="I81" s="2" t="s">
        <v>10</v>
      </c>
      <c r="J81" s="3"/>
      <c r="K81" s="3"/>
      <c r="L81" s="3"/>
      <c r="N81" s="2" t="s">
        <v>11</v>
      </c>
      <c r="O81" s="4">
        <f>MAX(J79:L81)</f>
        <v>0</v>
      </c>
    </row>
    <row r="82" spans="1:15" x14ac:dyDescent="0.2">
      <c r="F82" s="2" t="s">
        <v>12</v>
      </c>
      <c r="G82" s="4">
        <f>G81-G80</f>
        <v>0</v>
      </c>
      <c r="N82" s="2" t="s">
        <v>12</v>
      </c>
      <c r="O82" s="4">
        <f>O81-O80</f>
        <v>0</v>
      </c>
    </row>
    <row r="83" spans="1:15" x14ac:dyDescent="0.2">
      <c r="A83" s="5" t="s">
        <v>13</v>
      </c>
      <c r="F83" s="12" t="s">
        <v>67</v>
      </c>
      <c r="G83" s="13" t="e">
        <f>_xlfn.STDEV.S(B79:D81)</f>
        <v>#DIV/0!</v>
      </c>
      <c r="N83" s="12" t="s">
        <v>66</v>
      </c>
      <c r="O83" s="13" t="e">
        <f>((MAX(J79:L81)-MIN(J79:L81))/(MAX(J79:L81)+MIN(J79:L81)))*100</f>
        <v>#DIV/0!</v>
      </c>
    </row>
    <row r="84" spans="1:15" x14ac:dyDescent="0.2">
      <c r="A84" s="6" t="s">
        <v>14</v>
      </c>
      <c r="C84" s="34" t="s">
        <v>108</v>
      </c>
      <c r="D84" s="35"/>
      <c r="E84" s="35"/>
      <c r="F84" s="35"/>
      <c r="G84" s="35"/>
    </row>
    <row r="85" spans="1:15" x14ac:dyDescent="0.2">
      <c r="A85" s="6" t="s">
        <v>16</v>
      </c>
      <c r="C85" s="34" t="s">
        <v>120</v>
      </c>
      <c r="D85" s="35"/>
      <c r="E85" s="35"/>
      <c r="F85" s="35"/>
      <c r="G85" s="35"/>
    </row>
    <row r="86" spans="1:15" x14ac:dyDescent="0.2">
      <c r="A86" s="6" t="s">
        <v>18</v>
      </c>
      <c r="C86" s="34" t="s">
        <v>53</v>
      </c>
      <c r="D86" s="35"/>
      <c r="E86" s="35"/>
      <c r="F86" s="35"/>
      <c r="G86" s="35"/>
    </row>
    <row r="87" spans="1:15" x14ac:dyDescent="0.2">
      <c r="A87" s="6" t="s">
        <v>19</v>
      </c>
      <c r="C87" s="34" t="s">
        <v>127</v>
      </c>
      <c r="D87" s="35"/>
      <c r="E87" s="35"/>
      <c r="F87" s="35"/>
      <c r="G87" s="35"/>
    </row>
  </sheetData>
  <mergeCells count="56">
    <mergeCell ref="C86:G86"/>
    <mergeCell ref="C87:G87"/>
    <mergeCell ref="A77:D77"/>
    <mergeCell ref="I77:L77"/>
    <mergeCell ref="F78:G78"/>
    <mergeCell ref="N78:O78"/>
    <mergeCell ref="C84:G84"/>
    <mergeCell ref="C85:G85"/>
    <mergeCell ref="F65:G65"/>
    <mergeCell ref="N65:O65"/>
    <mergeCell ref="C71:G71"/>
    <mergeCell ref="C72:G72"/>
    <mergeCell ref="C73:G73"/>
    <mergeCell ref="C74:G74"/>
    <mergeCell ref="I64:L64"/>
    <mergeCell ref="C48:G48"/>
    <mergeCell ref="C49:G49"/>
    <mergeCell ref="A51:D51"/>
    <mergeCell ref="I51:L51"/>
    <mergeCell ref="F52:G52"/>
    <mergeCell ref="C58:G58"/>
    <mergeCell ref="C59:G59"/>
    <mergeCell ref="C60:G60"/>
    <mergeCell ref="C61:G61"/>
    <mergeCell ref="A64:D64"/>
    <mergeCell ref="N28:O28"/>
    <mergeCell ref="C34:G34"/>
    <mergeCell ref="C35:G35"/>
    <mergeCell ref="C36:G36"/>
    <mergeCell ref="N52:O52"/>
    <mergeCell ref="A39:D39"/>
    <mergeCell ref="I39:L39"/>
    <mergeCell ref="F40:G40"/>
    <mergeCell ref="N40:O40"/>
    <mergeCell ref="C46:G46"/>
    <mergeCell ref="C47:G47"/>
    <mergeCell ref="C37:G37"/>
    <mergeCell ref="C22:G22"/>
    <mergeCell ref="C23:G23"/>
    <mergeCell ref="C24:G24"/>
    <mergeCell ref="C25:G25"/>
    <mergeCell ref="A27:D27"/>
    <mergeCell ref="F28:G28"/>
    <mergeCell ref="I27:L27"/>
    <mergeCell ref="C12:G12"/>
    <mergeCell ref="C13:G13"/>
    <mergeCell ref="A15:D15"/>
    <mergeCell ref="I15:L15"/>
    <mergeCell ref="F16:G16"/>
    <mergeCell ref="N16:O16"/>
    <mergeCell ref="A3:D3"/>
    <mergeCell ref="I3:L3"/>
    <mergeCell ref="F4:G4"/>
    <mergeCell ref="N4:O4"/>
    <mergeCell ref="C10:G10"/>
    <mergeCell ref="C11:G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91E9-6981-8849-B28B-669705711627}">
  <dimension ref="A1:O65"/>
  <sheetViews>
    <sheetView topLeftCell="A31" workbookViewId="0">
      <selection activeCell="O6" sqref="O6"/>
    </sheetView>
  </sheetViews>
  <sheetFormatPr baseColWidth="10" defaultRowHeight="15" x14ac:dyDescent="0.2"/>
  <sheetData>
    <row r="1" spans="1:15" ht="24" x14ac:dyDescent="0.3">
      <c r="A1" t="s">
        <v>114</v>
      </c>
    </row>
    <row r="2" spans="1:15" x14ac:dyDescent="0.2">
      <c r="A2" s="27" t="s">
        <v>129</v>
      </c>
    </row>
    <row r="3" spans="1:15" x14ac:dyDescent="0.2">
      <c r="A3" s="36" t="s">
        <v>20</v>
      </c>
      <c r="B3" s="37"/>
      <c r="C3" s="37"/>
      <c r="D3" s="37"/>
      <c r="I3" s="36" t="s">
        <v>21</v>
      </c>
      <c r="J3" s="37"/>
      <c r="K3" s="37"/>
      <c r="L3" s="37"/>
    </row>
    <row r="4" spans="1:15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</row>
    <row r="5" spans="1:15" x14ac:dyDescent="0.2">
      <c r="A5" s="2" t="s">
        <v>6</v>
      </c>
      <c r="B5" s="3">
        <v>50.8</v>
      </c>
      <c r="C5" s="3">
        <v>52.8</v>
      </c>
      <c r="D5" s="3">
        <v>51.6</v>
      </c>
      <c r="F5" s="2" t="s">
        <v>7</v>
      </c>
      <c r="G5" s="4">
        <f>AVERAGE(B5:D7)</f>
        <v>52.277777777777779</v>
      </c>
      <c r="I5" s="2" t="s">
        <v>6</v>
      </c>
      <c r="J5" s="3">
        <v>679.7</v>
      </c>
      <c r="K5" s="3">
        <v>832.3</v>
      </c>
      <c r="L5" s="3">
        <v>685</v>
      </c>
      <c r="N5" s="2" t="s">
        <v>7</v>
      </c>
      <c r="O5" s="4">
        <f>AVERAGE(J5:L7)</f>
        <v>775.45555555555563</v>
      </c>
    </row>
    <row r="6" spans="1:15" x14ac:dyDescent="0.2">
      <c r="A6" s="2" t="s">
        <v>8</v>
      </c>
      <c r="B6" s="3">
        <v>50.2</v>
      </c>
      <c r="C6" s="3">
        <v>53.9</v>
      </c>
      <c r="D6" s="3">
        <v>52.5</v>
      </c>
      <c r="F6" s="2" t="s">
        <v>9</v>
      </c>
      <c r="G6" s="4">
        <f>MIN(B5:D7)</f>
        <v>50.2</v>
      </c>
      <c r="I6" s="2" t="s">
        <v>8</v>
      </c>
      <c r="J6" s="3">
        <v>776.2</v>
      </c>
      <c r="K6" s="3">
        <v>890.5</v>
      </c>
      <c r="L6" s="3">
        <v>798.6</v>
      </c>
      <c r="N6" s="2" t="s">
        <v>9</v>
      </c>
      <c r="O6" s="4">
        <f>MIN(J5:L7)</f>
        <v>679.7</v>
      </c>
    </row>
    <row r="7" spans="1:15" x14ac:dyDescent="0.2">
      <c r="A7" s="2" t="s">
        <v>10</v>
      </c>
      <c r="B7" s="3">
        <v>51.8</v>
      </c>
      <c r="C7" s="3">
        <v>54.6</v>
      </c>
      <c r="D7" s="3">
        <v>52.3</v>
      </c>
      <c r="F7" s="2" t="s">
        <v>11</v>
      </c>
      <c r="G7" s="4">
        <f>MAX(B5:D7)</f>
        <v>54.6</v>
      </c>
      <c r="I7" s="2" t="s">
        <v>10</v>
      </c>
      <c r="J7" s="3">
        <v>732.5</v>
      </c>
      <c r="K7" s="3">
        <v>834.3</v>
      </c>
      <c r="L7" s="3">
        <v>750</v>
      </c>
      <c r="N7" s="2" t="s">
        <v>11</v>
      </c>
      <c r="O7" s="4">
        <f>MAX(J5:L7)</f>
        <v>890.5</v>
      </c>
    </row>
    <row r="8" spans="1:15" x14ac:dyDescent="0.2">
      <c r="F8" s="2" t="s">
        <v>12</v>
      </c>
      <c r="G8" s="4">
        <f>G7-G6</f>
        <v>4.3999999999999986</v>
      </c>
      <c r="N8" s="2" t="s">
        <v>12</v>
      </c>
      <c r="O8" s="4">
        <f>O7-O6</f>
        <v>210.79999999999995</v>
      </c>
    </row>
    <row r="9" spans="1:15" x14ac:dyDescent="0.2">
      <c r="A9" s="5" t="s">
        <v>13</v>
      </c>
      <c r="F9" s="12" t="s">
        <v>67</v>
      </c>
      <c r="G9" s="13">
        <f>_xlfn.STDEV.S(B5:D7)</f>
        <v>1.3935366677789445</v>
      </c>
      <c r="N9" s="12" t="s">
        <v>66</v>
      </c>
      <c r="O9" s="13">
        <f>((MAX(J5:L7)-MIN(J5:L7))/(MAX(J5:L7)+MIN(J5:L7)))*100</f>
        <v>13.425041396000506</v>
      </c>
    </row>
    <row r="10" spans="1:15" x14ac:dyDescent="0.2">
      <c r="A10" s="6" t="s">
        <v>14</v>
      </c>
      <c r="C10" s="34" t="s">
        <v>108</v>
      </c>
      <c r="D10" s="35"/>
      <c r="E10" s="35"/>
      <c r="F10" s="35"/>
      <c r="G10" s="35"/>
    </row>
    <row r="11" spans="1:15" x14ac:dyDescent="0.2">
      <c r="A11" s="6" t="s">
        <v>16</v>
      </c>
      <c r="C11" s="34" t="s">
        <v>120</v>
      </c>
      <c r="D11" s="35"/>
      <c r="E11" s="35"/>
      <c r="F11" s="35"/>
      <c r="G11" s="35"/>
    </row>
    <row r="12" spans="1:15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15" x14ac:dyDescent="0.2">
      <c r="A13" s="6" t="s">
        <v>19</v>
      </c>
      <c r="C13" s="34" t="s">
        <v>128</v>
      </c>
      <c r="D13" s="35"/>
      <c r="E13" s="35"/>
      <c r="F13" s="35"/>
      <c r="G13" s="35"/>
    </row>
    <row r="15" spans="1:15" x14ac:dyDescent="0.2">
      <c r="A15" s="27"/>
    </row>
    <row r="16" spans="1:15" x14ac:dyDescent="0.2">
      <c r="A16" s="36" t="s">
        <v>20</v>
      </c>
      <c r="B16" s="37"/>
      <c r="C16" s="37"/>
      <c r="D16" s="37"/>
      <c r="I16" s="36" t="s">
        <v>21</v>
      </c>
      <c r="J16" s="37"/>
      <c r="K16" s="37"/>
      <c r="L16" s="37"/>
    </row>
    <row r="17" spans="1:15" x14ac:dyDescent="0.2">
      <c r="A17" s="1" t="s">
        <v>1</v>
      </c>
      <c r="B17" s="1" t="s">
        <v>2</v>
      </c>
      <c r="C17" s="1" t="s">
        <v>3</v>
      </c>
      <c r="D17" s="1" t="s">
        <v>4</v>
      </c>
      <c r="F17" s="38" t="s">
        <v>5</v>
      </c>
      <c r="G17" s="37"/>
      <c r="I17" s="1" t="s">
        <v>1</v>
      </c>
      <c r="J17" s="1" t="s">
        <v>2</v>
      </c>
      <c r="K17" s="1" t="s">
        <v>3</v>
      </c>
      <c r="L17" s="1" t="s">
        <v>4</v>
      </c>
      <c r="N17" s="38" t="s">
        <v>5</v>
      </c>
      <c r="O17" s="37"/>
    </row>
    <row r="18" spans="1:15" x14ac:dyDescent="0.2">
      <c r="A18" s="2" t="s">
        <v>6</v>
      </c>
      <c r="B18" s="3">
        <v>52.9</v>
      </c>
      <c r="C18" s="3">
        <v>55</v>
      </c>
      <c r="D18" s="3">
        <v>54</v>
      </c>
      <c r="F18" s="2" t="s">
        <v>7</v>
      </c>
      <c r="G18" s="4">
        <f>AVERAGE(B18:D20)</f>
        <v>54.611111111111107</v>
      </c>
      <c r="I18" s="2" t="s">
        <v>6</v>
      </c>
      <c r="J18" s="3">
        <v>698.4</v>
      </c>
      <c r="K18" s="3">
        <v>817.8</v>
      </c>
      <c r="L18" s="3">
        <v>694.4</v>
      </c>
      <c r="N18" s="2" t="s">
        <v>7</v>
      </c>
      <c r="O18" s="4">
        <f>AVERAGE(J18:L20)</f>
        <v>776.91111111111104</v>
      </c>
    </row>
    <row r="19" spans="1:15" x14ac:dyDescent="0.2">
      <c r="A19" s="2" t="s">
        <v>8</v>
      </c>
      <c r="B19" s="3">
        <v>52.6</v>
      </c>
      <c r="C19" s="3">
        <v>58</v>
      </c>
      <c r="D19" s="3">
        <v>55.9</v>
      </c>
      <c r="F19" s="2" t="s">
        <v>9</v>
      </c>
      <c r="G19" s="4">
        <f>MIN(B18:D20)</f>
        <v>50.9</v>
      </c>
      <c r="I19" s="2" t="s">
        <v>8</v>
      </c>
      <c r="J19" s="3">
        <v>787.4</v>
      </c>
      <c r="K19" s="3">
        <v>896.6</v>
      </c>
      <c r="L19" s="3">
        <v>780.1</v>
      </c>
      <c r="N19" s="2" t="s">
        <v>9</v>
      </c>
      <c r="O19" s="4">
        <f>MIN(J18:L20)</f>
        <v>694.4</v>
      </c>
    </row>
    <row r="20" spans="1:15" x14ac:dyDescent="0.2">
      <c r="A20" s="2" t="s">
        <v>10</v>
      </c>
      <c r="B20" s="3">
        <v>50.9</v>
      </c>
      <c r="C20" s="3">
        <v>57.2</v>
      </c>
      <c r="D20" s="3">
        <v>55</v>
      </c>
      <c r="F20" s="2" t="s">
        <v>11</v>
      </c>
      <c r="G20" s="4">
        <f>MAX(B18:D20)</f>
        <v>58</v>
      </c>
      <c r="I20" s="2" t="s">
        <v>10</v>
      </c>
      <c r="J20" s="3">
        <v>744.4</v>
      </c>
      <c r="K20" s="3">
        <v>828.4</v>
      </c>
      <c r="L20" s="3">
        <v>744.7</v>
      </c>
      <c r="N20" s="2" t="s">
        <v>11</v>
      </c>
      <c r="O20" s="4">
        <f>MAX(J18:L20)</f>
        <v>896.6</v>
      </c>
    </row>
    <row r="21" spans="1:15" x14ac:dyDescent="0.2">
      <c r="F21" s="2" t="s">
        <v>12</v>
      </c>
      <c r="G21" s="4">
        <f>G20-G19</f>
        <v>7.1000000000000014</v>
      </c>
      <c r="N21" s="2" t="s">
        <v>12</v>
      </c>
      <c r="O21" s="4">
        <f>O20-O19</f>
        <v>202.20000000000005</v>
      </c>
    </row>
    <row r="22" spans="1:15" x14ac:dyDescent="0.2">
      <c r="A22" s="5" t="s">
        <v>13</v>
      </c>
      <c r="F22" s="12" t="s">
        <v>67</v>
      </c>
      <c r="G22" s="13">
        <f>_xlfn.STDEV.S(B18:D20)</f>
        <v>2.2712576056253755</v>
      </c>
      <c r="N22" s="12" t="s">
        <v>66</v>
      </c>
      <c r="O22" s="13">
        <f>((MAX(J18:L20)-MIN(J18:L20))/(MAX(J18:L20)+MIN(J18:L20)))*100</f>
        <v>12.708988057825271</v>
      </c>
    </row>
    <row r="23" spans="1:15" x14ac:dyDescent="0.2">
      <c r="A23" s="6" t="s">
        <v>14</v>
      </c>
      <c r="C23" s="34" t="s">
        <v>108</v>
      </c>
      <c r="D23" s="35"/>
      <c r="E23" s="35"/>
      <c r="F23" s="35"/>
      <c r="G23" s="35"/>
      <c r="H23" t="s">
        <v>131</v>
      </c>
    </row>
    <row r="24" spans="1:15" x14ac:dyDescent="0.2">
      <c r="A24" s="6" t="s">
        <v>16</v>
      </c>
      <c r="C24" s="34" t="s">
        <v>120</v>
      </c>
      <c r="D24" s="35"/>
      <c r="E24" s="35"/>
      <c r="F24" s="35"/>
      <c r="G24" s="35"/>
    </row>
    <row r="25" spans="1:15" x14ac:dyDescent="0.2">
      <c r="A25" s="6" t="s">
        <v>18</v>
      </c>
      <c r="C25" s="34" t="s">
        <v>53</v>
      </c>
      <c r="D25" s="35"/>
      <c r="E25" s="35"/>
      <c r="F25" s="35"/>
      <c r="G25" s="35"/>
    </row>
    <row r="26" spans="1:15" x14ac:dyDescent="0.2">
      <c r="A26" s="6" t="s">
        <v>19</v>
      </c>
      <c r="C26" s="34" t="s">
        <v>130</v>
      </c>
      <c r="D26" s="35"/>
      <c r="E26" s="35"/>
      <c r="F26" s="35"/>
      <c r="G26" s="35"/>
    </row>
    <row r="28" spans="1:15" x14ac:dyDescent="0.2">
      <c r="A28" s="3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">
      <c r="A29" s="43" t="s">
        <v>20</v>
      </c>
      <c r="B29" s="43"/>
      <c r="C29" s="43"/>
      <c r="D29" s="43"/>
      <c r="E29" s="14"/>
      <c r="F29" s="14"/>
      <c r="G29" s="14"/>
      <c r="H29" s="14"/>
      <c r="I29" s="43" t="s">
        <v>21</v>
      </c>
      <c r="J29" s="43"/>
      <c r="K29" s="43"/>
      <c r="L29" s="43"/>
      <c r="M29" s="14"/>
      <c r="N29" s="14"/>
      <c r="O29" s="14"/>
    </row>
    <row r="30" spans="1:15" x14ac:dyDescent="0.2">
      <c r="A30" s="15" t="s">
        <v>1</v>
      </c>
      <c r="B30" s="16" t="s">
        <v>2</v>
      </c>
      <c r="C30" s="16" t="s">
        <v>3</v>
      </c>
      <c r="D30" s="16" t="s">
        <v>4</v>
      </c>
      <c r="E30" s="14"/>
      <c r="F30" s="47" t="s">
        <v>5</v>
      </c>
      <c r="G30" s="48"/>
      <c r="H30" s="14"/>
      <c r="I30" s="15" t="s">
        <v>1</v>
      </c>
      <c r="J30" s="16" t="s">
        <v>2</v>
      </c>
      <c r="K30" s="16" t="s">
        <v>3</v>
      </c>
      <c r="L30" s="16" t="s">
        <v>4</v>
      </c>
      <c r="M30" s="14"/>
      <c r="N30" s="47" t="s">
        <v>5</v>
      </c>
      <c r="O30" s="48"/>
    </row>
    <row r="31" spans="1:15" x14ac:dyDescent="0.2">
      <c r="A31" s="17" t="s">
        <v>6</v>
      </c>
      <c r="B31" s="18">
        <v>48</v>
      </c>
      <c r="C31" s="18">
        <v>55</v>
      </c>
      <c r="D31" s="18">
        <v>54</v>
      </c>
      <c r="E31" s="14"/>
      <c r="F31" s="17" t="s">
        <v>7</v>
      </c>
      <c r="G31" s="19" t="e">
        <v>#DIV/0!</v>
      </c>
      <c r="H31" s="14"/>
      <c r="I31" s="17" t="s">
        <v>6</v>
      </c>
      <c r="J31" s="18">
        <v>675.3</v>
      </c>
      <c r="K31" s="18">
        <v>839.6</v>
      </c>
      <c r="L31" s="18">
        <v>698.2</v>
      </c>
      <c r="M31" s="14"/>
      <c r="N31" s="17" t="s">
        <v>7</v>
      </c>
      <c r="O31" s="19" t="e">
        <v>#DIV/0!</v>
      </c>
    </row>
    <row r="32" spans="1:15" x14ac:dyDescent="0.2">
      <c r="A32" s="20" t="s">
        <v>8</v>
      </c>
      <c r="B32" s="21">
        <v>52.5</v>
      </c>
      <c r="C32" s="21">
        <v>56.8</v>
      </c>
      <c r="D32" s="21">
        <v>55.2</v>
      </c>
      <c r="E32" s="14"/>
      <c r="F32" s="20" t="s">
        <v>9</v>
      </c>
      <c r="G32" s="22">
        <v>0</v>
      </c>
      <c r="H32" s="14"/>
      <c r="I32" s="20" t="s">
        <v>8</v>
      </c>
      <c r="J32" s="21">
        <v>789.4</v>
      </c>
      <c r="K32" s="21">
        <v>888.5</v>
      </c>
      <c r="L32" s="21">
        <v>785.4</v>
      </c>
      <c r="M32" s="14"/>
      <c r="N32" s="20" t="s">
        <v>9</v>
      </c>
      <c r="O32" s="22">
        <v>0</v>
      </c>
    </row>
    <row r="33" spans="1:15" x14ac:dyDescent="0.2">
      <c r="A33" s="20" t="s">
        <v>10</v>
      </c>
      <c r="B33" s="21">
        <v>53</v>
      </c>
      <c r="C33" s="21">
        <v>56.2</v>
      </c>
      <c r="D33" s="21">
        <v>55</v>
      </c>
      <c r="E33" s="14"/>
      <c r="F33" s="20" t="s">
        <v>11</v>
      </c>
      <c r="G33" s="22">
        <v>0</v>
      </c>
      <c r="H33" s="14"/>
      <c r="I33" s="20" t="s">
        <v>10</v>
      </c>
      <c r="J33" s="21">
        <v>737.8</v>
      </c>
      <c r="K33" s="21">
        <v>835.6</v>
      </c>
      <c r="L33" s="21">
        <v>743.8</v>
      </c>
      <c r="M33" s="14"/>
      <c r="N33" s="20" t="s">
        <v>11</v>
      </c>
      <c r="O33" s="22">
        <v>0</v>
      </c>
    </row>
    <row r="34" spans="1:15" x14ac:dyDescent="0.2">
      <c r="A34" s="14"/>
      <c r="B34" s="14"/>
      <c r="C34" s="14"/>
      <c r="D34" s="14"/>
      <c r="E34" s="14"/>
      <c r="F34" s="20" t="s">
        <v>12</v>
      </c>
      <c r="G34" s="22">
        <v>0</v>
      </c>
      <c r="H34" s="14"/>
      <c r="I34" s="14"/>
      <c r="J34" s="14"/>
      <c r="K34" s="14"/>
      <c r="L34" s="14"/>
      <c r="M34" s="14"/>
      <c r="N34" s="20" t="s">
        <v>12</v>
      </c>
      <c r="O34" s="22">
        <v>0</v>
      </c>
    </row>
    <row r="35" spans="1:15" x14ac:dyDescent="0.2">
      <c r="A35" s="23" t="s">
        <v>13</v>
      </c>
      <c r="B35" s="23"/>
      <c r="C35" s="23"/>
      <c r="D35" s="14"/>
      <c r="E35" s="14"/>
      <c r="F35" s="24" t="s">
        <v>67</v>
      </c>
      <c r="G35" s="25" t="e">
        <v>#DIV/0!</v>
      </c>
      <c r="H35" s="14"/>
      <c r="I35" s="14"/>
      <c r="J35" s="14"/>
      <c r="K35" s="14"/>
      <c r="L35" s="14"/>
      <c r="M35" s="14"/>
      <c r="N35" s="24" t="s">
        <v>66</v>
      </c>
      <c r="O35" s="25" t="e">
        <v>#DIV/0!</v>
      </c>
    </row>
    <row r="36" spans="1:15" x14ac:dyDescent="0.2">
      <c r="A36" s="26" t="s">
        <v>14</v>
      </c>
      <c r="B36" s="26"/>
      <c r="C36" s="44" t="s">
        <v>108</v>
      </c>
      <c r="D36" s="45"/>
      <c r="E36" s="45"/>
      <c r="F36" s="45"/>
      <c r="G36" s="46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A37" s="26" t="s">
        <v>16</v>
      </c>
      <c r="B37" s="14"/>
      <c r="C37" s="44" t="s">
        <v>120</v>
      </c>
      <c r="D37" s="45"/>
      <c r="E37" s="45"/>
      <c r="F37" s="45"/>
      <c r="G37" s="46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26" t="s">
        <v>18</v>
      </c>
      <c r="B38" s="26"/>
      <c r="C38" s="44" t="s">
        <v>53</v>
      </c>
      <c r="D38" s="45"/>
      <c r="E38" s="45"/>
      <c r="F38" s="45"/>
      <c r="G38" s="46"/>
      <c r="H38" s="14"/>
      <c r="I38" s="14"/>
      <c r="J38" s="14"/>
      <c r="K38" s="14"/>
      <c r="L38" s="14"/>
      <c r="M38" s="14"/>
      <c r="N38" s="14"/>
      <c r="O38" s="14"/>
    </row>
    <row r="39" spans="1:15" x14ac:dyDescent="0.2">
      <c r="A39" s="26" t="s">
        <v>19</v>
      </c>
      <c r="B39" s="26"/>
      <c r="C39" s="44" t="s">
        <v>132</v>
      </c>
      <c r="D39" s="45"/>
      <c r="E39" s="45"/>
      <c r="F39" s="45"/>
      <c r="G39" s="46"/>
      <c r="H39" s="14"/>
      <c r="I39" s="14"/>
      <c r="J39" s="14"/>
      <c r="K39" s="14"/>
      <c r="L39" s="14"/>
      <c r="M39" s="14"/>
      <c r="N39" s="14"/>
      <c r="O39" s="14"/>
    </row>
    <row r="41" spans="1:15" x14ac:dyDescent="0.2">
      <c r="A41" s="3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43" t="s">
        <v>20</v>
      </c>
      <c r="B42" s="43"/>
      <c r="C42" s="43"/>
      <c r="D42" s="43"/>
      <c r="E42" s="14"/>
      <c r="F42" s="14"/>
      <c r="G42" s="14"/>
      <c r="H42" s="14"/>
      <c r="I42" s="43" t="s">
        <v>21</v>
      </c>
      <c r="J42" s="43"/>
      <c r="K42" s="43"/>
      <c r="L42" s="43"/>
      <c r="M42" s="14"/>
      <c r="N42" s="14"/>
      <c r="O42" s="14"/>
    </row>
    <row r="43" spans="1:15" x14ac:dyDescent="0.2">
      <c r="A43" s="15" t="s">
        <v>1</v>
      </c>
      <c r="B43" s="16" t="s">
        <v>2</v>
      </c>
      <c r="C43" s="16" t="s">
        <v>3</v>
      </c>
      <c r="D43" s="16" t="s">
        <v>4</v>
      </c>
      <c r="E43" s="14"/>
      <c r="F43" s="47" t="s">
        <v>5</v>
      </c>
      <c r="G43" s="48"/>
      <c r="H43" s="14"/>
      <c r="I43" s="15" t="s">
        <v>1</v>
      </c>
      <c r="J43" s="16" t="s">
        <v>2</v>
      </c>
      <c r="K43" s="16" t="s">
        <v>3</v>
      </c>
      <c r="L43" s="16" t="s">
        <v>4</v>
      </c>
      <c r="M43" s="14"/>
      <c r="N43" s="47" t="s">
        <v>5</v>
      </c>
      <c r="O43" s="48"/>
    </row>
    <row r="44" spans="1:15" x14ac:dyDescent="0.2">
      <c r="A44" s="17" t="s">
        <v>6</v>
      </c>
      <c r="B44" s="18">
        <v>50</v>
      </c>
      <c r="C44" s="18">
        <v>51.4</v>
      </c>
      <c r="D44" s="18">
        <v>53</v>
      </c>
      <c r="E44" s="14"/>
      <c r="F44" s="17" t="s">
        <v>7</v>
      </c>
      <c r="G44" s="19" t="e">
        <v>#DIV/0!</v>
      </c>
      <c r="H44" s="14"/>
      <c r="I44" s="17" t="s">
        <v>6</v>
      </c>
      <c r="J44" s="18">
        <v>705</v>
      </c>
      <c r="K44" s="18">
        <v>850.2</v>
      </c>
      <c r="L44" s="18">
        <v>693.6</v>
      </c>
      <c r="M44" s="14"/>
      <c r="N44" s="17" t="s">
        <v>7</v>
      </c>
      <c r="O44" s="19" t="e">
        <v>#DIV/0!</v>
      </c>
    </row>
    <row r="45" spans="1:15" x14ac:dyDescent="0.2">
      <c r="A45" s="20" t="s">
        <v>8</v>
      </c>
      <c r="B45" s="21">
        <v>53.2</v>
      </c>
      <c r="C45" s="21">
        <v>56.7</v>
      </c>
      <c r="D45" s="21">
        <v>54.6</v>
      </c>
      <c r="E45" s="14"/>
      <c r="F45" s="20" t="s">
        <v>9</v>
      </c>
      <c r="G45" s="22">
        <v>0</v>
      </c>
      <c r="H45" s="14"/>
      <c r="I45" s="20" t="s">
        <v>8</v>
      </c>
      <c r="J45" s="21">
        <v>792</v>
      </c>
      <c r="K45" s="21">
        <v>904.6</v>
      </c>
      <c r="L45" s="21">
        <v>787.6</v>
      </c>
      <c r="M45" s="14"/>
      <c r="N45" s="20" t="s">
        <v>9</v>
      </c>
      <c r="O45" s="22">
        <v>0</v>
      </c>
    </row>
    <row r="46" spans="1:15" x14ac:dyDescent="0.2">
      <c r="A46" s="20" t="s">
        <v>10</v>
      </c>
      <c r="B46" s="21">
        <v>52.4</v>
      </c>
      <c r="C46" s="21">
        <v>56.2</v>
      </c>
      <c r="D46" s="21">
        <v>53.6</v>
      </c>
      <c r="E46" s="14"/>
      <c r="F46" s="20" t="s">
        <v>11</v>
      </c>
      <c r="G46" s="22">
        <v>0</v>
      </c>
      <c r="H46" s="14"/>
      <c r="I46" s="20" t="s">
        <v>10</v>
      </c>
      <c r="J46" s="21">
        <v>751.7</v>
      </c>
      <c r="K46" s="21">
        <v>851.7</v>
      </c>
      <c r="L46" s="21">
        <v>764.5</v>
      </c>
      <c r="M46" s="14"/>
      <c r="N46" s="20" t="s">
        <v>11</v>
      </c>
      <c r="O46" s="22">
        <v>0</v>
      </c>
    </row>
    <row r="47" spans="1:15" x14ac:dyDescent="0.2">
      <c r="A47" s="14"/>
      <c r="B47" s="14"/>
      <c r="C47" s="14"/>
      <c r="D47" s="14"/>
      <c r="E47" s="14"/>
      <c r="F47" s="20" t="s">
        <v>12</v>
      </c>
      <c r="G47" s="22">
        <v>0</v>
      </c>
      <c r="H47" s="14"/>
      <c r="I47" s="14"/>
      <c r="J47" s="14"/>
      <c r="K47" s="14"/>
      <c r="L47" s="14"/>
      <c r="M47" s="14"/>
      <c r="N47" s="20" t="s">
        <v>12</v>
      </c>
      <c r="O47" s="22">
        <v>0</v>
      </c>
    </row>
    <row r="48" spans="1:15" x14ac:dyDescent="0.2">
      <c r="A48" s="23" t="s">
        <v>13</v>
      </c>
      <c r="B48" s="23"/>
      <c r="C48" s="23"/>
      <c r="D48" s="14"/>
      <c r="E48" s="14"/>
      <c r="F48" s="24" t="s">
        <v>67</v>
      </c>
      <c r="G48" s="25" t="e">
        <v>#DIV/0!</v>
      </c>
      <c r="H48" s="14"/>
      <c r="I48" s="14"/>
      <c r="J48" s="14"/>
      <c r="K48" s="14"/>
      <c r="L48" s="14"/>
      <c r="M48" s="14"/>
      <c r="N48" s="24" t="s">
        <v>66</v>
      </c>
      <c r="O48" s="25" t="e">
        <v>#DIV/0!</v>
      </c>
    </row>
    <row r="49" spans="1:15" x14ac:dyDescent="0.2">
      <c r="A49" s="26" t="s">
        <v>14</v>
      </c>
      <c r="B49" s="26"/>
      <c r="C49" s="44" t="s">
        <v>108</v>
      </c>
      <c r="D49" s="45"/>
      <c r="E49" s="45"/>
      <c r="F49" s="45"/>
      <c r="G49" s="46"/>
      <c r="H49" s="14"/>
      <c r="I49" s="14"/>
      <c r="J49" s="14"/>
      <c r="K49" s="14"/>
      <c r="L49" s="14"/>
      <c r="M49" s="14"/>
      <c r="N49" s="14"/>
      <c r="O49" s="14"/>
    </row>
    <row r="50" spans="1:15" x14ac:dyDescent="0.2">
      <c r="A50" s="26" t="s">
        <v>16</v>
      </c>
      <c r="B50" s="14"/>
      <c r="C50" s="44" t="s">
        <v>120</v>
      </c>
      <c r="D50" s="45"/>
      <c r="E50" s="45"/>
      <c r="F50" s="45"/>
      <c r="G50" s="46"/>
      <c r="H50" s="14"/>
      <c r="I50" s="14"/>
      <c r="J50" s="14"/>
      <c r="K50" s="14"/>
      <c r="L50" s="14"/>
      <c r="M50" s="14"/>
      <c r="N50" s="14"/>
      <c r="O50" s="14"/>
    </row>
    <row r="51" spans="1:15" x14ac:dyDescent="0.2">
      <c r="A51" s="26" t="s">
        <v>18</v>
      </c>
      <c r="B51" s="26"/>
      <c r="C51" s="44" t="s">
        <v>53</v>
      </c>
      <c r="D51" s="45"/>
      <c r="E51" s="45"/>
      <c r="F51" s="45"/>
      <c r="G51" s="46"/>
      <c r="H51" s="14"/>
      <c r="I51" s="14"/>
      <c r="J51" s="14"/>
      <c r="K51" s="14"/>
      <c r="L51" s="14"/>
      <c r="M51" s="14"/>
      <c r="N51" s="14"/>
      <c r="O51" s="14"/>
    </row>
    <row r="52" spans="1:15" x14ac:dyDescent="0.2">
      <c r="A52" s="26" t="s">
        <v>19</v>
      </c>
      <c r="B52" s="26"/>
      <c r="C52" s="44" t="s">
        <v>133</v>
      </c>
      <c r="D52" s="45"/>
      <c r="E52" s="45"/>
      <c r="F52" s="45"/>
      <c r="G52" s="46"/>
      <c r="H52" s="14"/>
      <c r="I52" s="14"/>
      <c r="J52" s="14"/>
      <c r="K52" s="14"/>
      <c r="L52" s="14"/>
      <c r="M52" s="14"/>
      <c r="N52" s="14"/>
      <c r="O52" s="14"/>
    </row>
    <row r="54" spans="1:15" x14ac:dyDescent="0.2">
      <c r="A54" s="32" t="s">
        <v>135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x14ac:dyDescent="0.2">
      <c r="A55" s="43" t="s">
        <v>20</v>
      </c>
      <c r="B55" s="43"/>
      <c r="C55" s="43"/>
      <c r="D55" s="43"/>
      <c r="E55" s="14"/>
      <c r="F55" s="14"/>
      <c r="G55" s="14"/>
      <c r="H55" s="14"/>
      <c r="I55" s="43" t="s">
        <v>21</v>
      </c>
      <c r="J55" s="43"/>
      <c r="K55" s="43"/>
      <c r="L55" s="43"/>
      <c r="M55" s="14"/>
      <c r="N55" s="14"/>
      <c r="O55" s="14"/>
    </row>
    <row r="56" spans="1:15" x14ac:dyDescent="0.2">
      <c r="A56" s="15" t="s">
        <v>1</v>
      </c>
      <c r="B56" s="16" t="s">
        <v>2</v>
      </c>
      <c r="C56" s="16" t="s">
        <v>3</v>
      </c>
      <c r="D56" s="16" t="s">
        <v>4</v>
      </c>
      <c r="E56" s="14"/>
      <c r="F56" s="47" t="s">
        <v>5</v>
      </c>
      <c r="G56" s="48"/>
      <c r="H56" s="14"/>
      <c r="I56" s="15" t="s">
        <v>1</v>
      </c>
      <c r="J56" s="16" t="s">
        <v>2</v>
      </c>
      <c r="K56" s="16" t="s">
        <v>3</v>
      </c>
      <c r="L56" s="16" t="s">
        <v>4</v>
      </c>
      <c r="M56" s="14"/>
      <c r="N56" s="47" t="s">
        <v>5</v>
      </c>
      <c r="O56" s="48"/>
    </row>
    <row r="57" spans="1:15" x14ac:dyDescent="0.2">
      <c r="A57" s="17" t="s">
        <v>6</v>
      </c>
      <c r="B57" s="18">
        <v>50</v>
      </c>
      <c r="C57" s="18">
        <v>50.2</v>
      </c>
      <c r="D57" s="18">
        <v>52.5</v>
      </c>
      <c r="E57" s="14"/>
      <c r="F57" s="17" t="s">
        <v>7</v>
      </c>
      <c r="G57" s="19" t="e">
        <v>#DIV/0!</v>
      </c>
      <c r="H57" s="14"/>
      <c r="I57" s="17" t="s">
        <v>6</v>
      </c>
      <c r="J57" s="18">
        <v>697.5</v>
      </c>
      <c r="K57" s="18">
        <v>848.2</v>
      </c>
      <c r="L57" s="18">
        <v>696.2</v>
      </c>
      <c r="M57" s="14"/>
      <c r="N57" s="17" t="s">
        <v>7</v>
      </c>
      <c r="O57" s="19" t="e">
        <v>#DIV/0!</v>
      </c>
    </row>
    <row r="58" spans="1:15" x14ac:dyDescent="0.2">
      <c r="A58" s="20" t="s">
        <v>8</v>
      </c>
      <c r="B58" s="21">
        <v>53.5</v>
      </c>
      <c r="C58" s="21">
        <v>56.7</v>
      </c>
      <c r="D58" s="21">
        <v>55.7</v>
      </c>
      <c r="E58" s="14"/>
      <c r="F58" s="20" t="s">
        <v>9</v>
      </c>
      <c r="G58" s="22">
        <v>0</v>
      </c>
      <c r="H58" s="14"/>
      <c r="I58" s="20" t="s">
        <v>8</v>
      </c>
      <c r="J58" s="21">
        <v>796.6</v>
      </c>
      <c r="K58" s="21">
        <v>909.9</v>
      </c>
      <c r="L58" s="21">
        <v>778.9</v>
      </c>
      <c r="M58" s="14"/>
      <c r="N58" s="20" t="s">
        <v>9</v>
      </c>
      <c r="O58" s="22">
        <v>0</v>
      </c>
    </row>
    <row r="59" spans="1:15" x14ac:dyDescent="0.2">
      <c r="A59" s="20" t="s">
        <v>10</v>
      </c>
      <c r="B59" s="21">
        <v>52.2</v>
      </c>
      <c r="C59" s="21">
        <v>55.1</v>
      </c>
      <c r="D59" s="21">
        <v>52.6</v>
      </c>
      <c r="E59" s="14"/>
      <c r="F59" s="20" t="s">
        <v>11</v>
      </c>
      <c r="G59" s="22">
        <v>0</v>
      </c>
      <c r="H59" s="14"/>
      <c r="I59" s="20" t="s">
        <v>10</v>
      </c>
      <c r="J59" s="21">
        <v>755.8</v>
      </c>
      <c r="K59" s="21">
        <v>844.9</v>
      </c>
      <c r="L59" s="21">
        <v>732.5</v>
      </c>
      <c r="M59" s="14"/>
      <c r="N59" s="20" t="s">
        <v>11</v>
      </c>
      <c r="O59" s="22">
        <v>0</v>
      </c>
    </row>
    <row r="60" spans="1:15" x14ac:dyDescent="0.2">
      <c r="A60" s="14"/>
      <c r="B60" s="14"/>
      <c r="C60" s="14"/>
      <c r="D60" s="14"/>
      <c r="E60" s="14"/>
      <c r="F60" s="20" t="s">
        <v>12</v>
      </c>
      <c r="G60" s="22">
        <v>0</v>
      </c>
      <c r="H60" s="14"/>
      <c r="I60" s="14"/>
      <c r="J60" s="14"/>
      <c r="K60" s="14"/>
      <c r="L60" s="14"/>
      <c r="M60" s="14"/>
      <c r="N60" s="20" t="s">
        <v>12</v>
      </c>
      <c r="O60" s="22">
        <v>0</v>
      </c>
    </row>
    <row r="61" spans="1:15" x14ac:dyDescent="0.2">
      <c r="A61" s="23" t="s">
        <v>13</v>
      </c>
      <c r="B61" s="23"/>
      <c r="C61" s="23"/>
      <c r="D61" s="14"/>
      <c r="E61" s="14"/>
      <c r="F61" s="24" t="s">
        <v>67</v>
      </c>
      <c r="G61" s="25" t="e">
        <v>#DIV/0!</v>
      </c>
      <c r="H61" s="14"/>
      <c r="I61" s="14"/>
      <c r="J61" s="14"/>
      <c r="K61" s="14"/>
      <c r="L61" s="14"/>
      <c r="M61" s="14"/>
      <c r="N61" s="24" t="s">
        <v>66</v>
      </c>
      <c r="O61" s="25" t="e">
        <v>#DIV/0!</v>
      </c>
    </row>
    <row r="62" spans="1:15" x14ac:dyDescent="0.2">
      <c r="A62" s="26" t="s">
        <v>14</v>
      </c>
      <c r="B62" s="26"/>
      <c r="C62" s="44" t="s">
        <v>108</v>
      </c>
      <c r="D62" s="45"/>
      <c r="E62" s="45"/>
      <c r="F62" s="45"/>
      <c r="G62" s="46"/>
      <c r="H62" s="14"/>
      <c r="I62" s="14"/>
      <c r="J62" s="14"/>
      <c r="K62" s="14"/>
      <c r="L62" s="14"/>
      <c r="M62" s="14"/>
      <c r="N62" s="14"/>
      <c r="O62" s="14"/>
    </row>
    <row r="63" spans="1:15" x14ac:dyDescent="0.2">
      <c r="A63" s="26" t="s">
        <v>16</v>
      </c>
      <c r="B63" s="14"/>
      <c r="C63" s="44" t="s">
        <v>120</v>
      </c>
      <c r="D63" s="45"/>
      <c r="E63" s="45"/>
      <c r="F63" s="45"/>
      <c r="G63" s="46"/>
      <c r="H63" s="14"/>
      <c r="I63" s="14"/>
      <c r="J63" s="14"/>
      <c r="K63" s="14"/>
      <c r="L63" s="14"/>
      <c r="M63" s="14"/>
      <c r="N63" s="14"/>
      <c r="O63" s="14"/>
    </row>
    <row r="64" spans="1:15" x14ac:dyDescent="0.2">
      <c r="A64" s="26" t="s">
        <v>18</v>
      </c>
      <c r="B64" s="26"/>
      <c r="C64" s="44" t="s">
        <v>53</v>
      </c>
      <c r="D64" s="45"/>
      <c r="E64" s="45"/>
      <c r="F64" s="45"/>
      <c r="G64" s="46"/>
      <c r="H64" s="14"/>
      <c r="I64" s="14"/>
      <c r="J64" s="14"/>
      <c r="K64" s="14"/>
      <c r="L64" s="14"/>
      <c r="M64" s="14"/>
      <c r="N64" s="14"/>
      <c r="O64" s="14"/>
    </row>
    <row r="65" spans="1:15" x14ac:dyDescent="0.2">
      <c r="A65" s="26" t="s">
        <v>19</v>
      </c>
      <c r="B65" s="26"/>
      <c r="C65" s="44" t="s">
        <v>134</v>
      </c>
      <c r="D65" s="45"/>
      <c r="E65" s="45"/>
      <c r="F65" s="45"/>
      <c r="G65" s="46"/>
      <c r="H65" s="14"/>
      <c r="I65" s="14"/>
      <c r="J65" s="14"/>
      <c r="K65" s="14"/>
      <c r="L65" s="14"/>
      <c r="M65" s="14"/>
      <c r="N65" s="14"/>
      <c r="O65" s="14"/>
    </row>
  </sheetData>
  <mergeCells count="40">
    <mergeCell ref="C62:G62"/>
    <mergeCell ref="C63:G63"/>
    <mergeCell ref="C64:G64"/>
    <mergeCell ref="C65:G65"/>
    <mergeCell ref="C51:G51"/>
    <mergeCell ref="C52:G52"/>
    <mergeCell ref="A55:D55"/>
    <mergeCell ref="F56:G56"/>
    <mergeCell ref="N56:O56"/>
    <mergeCell ref="A42:D42"/>
    <mergeCell ref="I42:L42"/>
    <mergeCell ref="F43:G43"/>
    <mergeCell ref="N43:O43"/>
    <mergeCell ref="C49:G49"/>
    <mergeCell ref="C50:G50"/>
    <mergeCell ref="N30:O30"/>
    <mergeCell ref="C36:G36"/>
    <mergeCell ref="C37:G37"/>
    <mergeCell ref="C38:G38"/>
    <mergeCell ref="I55:L55"/>
    <mergeCell ref="C39:G39"/>
    <mergeCell ref="C23:G23"/>
    <mergeCell ref="C24:G24"/>
    <mergeCell ref="C25:G25"/>
    <mergeCell ref="C26:G26"/>
    <mergeCell ref="A29:D29"/>
    <mergeCell ref="F30:G30"/>
    <mergeCell ref="I29:L29"/>
    <mergeCell ref="C12:G12"/>
    <mergeCell ref="C13:G13"/>
    <mergeCell ref="A16:D16"/>
    <mergeCell ref="I16:L16"/>
    <mergeCell ref="F17:G17"/>
    <mergeCell ref="N17:O17"/>
    <mergeCell ref="A3:D3"/>
    <mergeCell ref="I3:L3"/>
    <mergeCell ref="F4:G4"/>
    <mergeCell ref="N4:O4"/>
    <mergeCell ref="C10:G10"/>
    <mergeCell ref="C11:G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8ED6-EF5A-FA4C-9E6D-9847DEEA5442}">
  <dimension ref="A1:O37"/>
  <sheetViews>
    <sheetView workbookViewId="0">
      <selection activeCell="K8" sqref="K8"/>
    </sheetView>
  </sheetViews>
  <sheetFormatPr baseColWidth="10" defaultRowHeight="15" x14ac:dyDescent="0.2"/>
  <sheetData>
    <row r="1" spans="1:15" ht="24" x14ac:dyDescent="0.3">
      <c r="A1" t="s">
        <v>136</v>
      </c>
    </row>
    <row r="2" spans="1:15" x14ac:dyDescent="0.2">
      <c r="A2" s="27" t="s">
        <v>129</v>
      </c>
    </row>
    <row r="3" spans="1:15" x14ac:dyDescent="0.2">
      <c r="A3" s="36" t="s">
        <v>20</v>
      </c>
      <c r="B3" s="37"/>
      <c r="C3" s="37"/>
      <c r="D3" s="37"/>
      <c r="I3" s="36" t="s">
        <v>21</v>
      </c>
      <c r="J3" s="37"/>
      <c r="K3" s="37"/>
      <c r="L3" s="37"/>
    </row>
    <row r="4" spans="1:15" x14ac:dyDescent="0.2">
      <c r="A4" s="1" t="s">
        <v>1</v>
      </c>
      <c r="B4" s="1" t="s">
        <v>2</v>
      </c>
      <c r="C4" s="1" t="s">
        <v>3</v>
      </c>
      <c r="D4" s="1" t="s">
        <v>4</v>
      </c>
      <c r="F4" s="38" t="s">
        <v>5</v>
      </c>
      <c r="G4" s="37"/>
      <c r="I4" s="1" t="s">
        <v>1</v>
      </c>
      <c r="J4" s="1" t="s">
        <v>2</v>
      </c>
      <c r="K4" s="1" t="s">
        <v>3</v>
      </c>
      <c r="L4" s="1" t="s">
        <v>4</v>
      </c>
      <c r="N4" s="38" t="s">
        <v>5</v>
      </c>
      <c r="O4" s="37"/>
    </row>
    <row r="5" spans="1:15" x14ac:dyDescent="0.2">
      <c r="A5" s="2" t="s">
        <v>6</v>
      </c>
      <c r="B5" s="3">
        <v>49</v>
      </c>
      <c r="C5" s="3">
        <v>53</v>
      </c>
      <c r="D5" s="3">
        <v>50.8</v>
      </c>
      <c r="F5" s="2" t="s">
        <v>7</v>
      </c>
      <c r="G5" s="4">
        <f>AVERAGE(B5:D7)</f>
        <v>51.333333333333329</v>
      </c>
      <c r="I5" s="2" t="s">
        <v>6</v>
      </c>
      <c r="J5" s="3">
        <v>685.6</v>
      </c>
      <c r="K5" s="3">
        <v>823.1</v>
      </c>
      <c r="L5" s="3">
        <v>679.7</v>
      </c>
      <c r="N5" s="2" t="s">
        <v>7</v>
      </c>
      <c r="O5" s="4">
        <f>AVERAGE(J5:L7)</f>
        <v>770.3</v>
      </c>
    </row>
    <row r="6" spans="1:15" x14ac:dyDescent="0.2">
      <c r="A6" s="2" t="s">
        <v>8</v>
      </c>
      <c r="B6" s="3">
        <v>50.3</v>
      </c>
      <c r="C6" s="3">
        <v>53.9</v>
      </c>
      <c r="D6" s="3">
        <v>52.5</v>
      </c>
      <c r="F6" s="2" t="s">
        <v>9</v>
      </c>
      <c r="G6" s="4">
        <f>MIN(B5:D7)</f>
        <v>48.9</v>
      </c>
      <c r="I6" s="2" t="s">
        <v>8</v>
      </c>
      <c r="J6" s="3">
        <v>779.5</v>
      </c>
      <c r="K6" s="3">
        <v>893.1</v>
      </c>
      <c r="L6" s="3">
        <v>777</v>
      </c>
      <c r="N6" s="2" t="s">
        <v>9</v>
      </c>
      <c r="O6" s="4">
        <f>MIN(J5:L7)</f>
        <v>679.7</v>
      </c>
    </row>
    <row r="7" spans="1:15" x14ac:dyDescent="0.2">
      <c r="A7" s="2" t="s">
        <v>10</v>
      </c>
      <c r="B7" s="3">
        <v>48.9</v>
      </c>
      <c r="C7" s="3">
        <v>53.4</v>
      </c>
      <c r="D7" s="3">
        <v>50.2</v>
      </c>
      <c r="F7" s="2" t="s">
        <v>11</v>
      </c>
      <c r="G7" s="4">
        <f>MAX(B5:D7)</f>
        <v>53.9</v>
      </c>
      <c r="I7" s="2" t="s">
        <v>10</v>
      </c>
      <c r="J7" s="3">
        <v>744.4</v>
      </c>
      <c r="K7" s="3">
        <v>821.1</v>
      </c>
      <c r="L7" s="3">
        <v>729.2</v>
      </c>
      <c r="N7" s="2" t="s">
        <v>11</v>
      </c>
      <c r="O7" s="4">
        <f>MAX(J5:L7)</f>
        <v>893.1</v>
      </c>
    </row>
    <row r="8" spans="1:15" x14ac:dyDescent="0.2">
      <c r="F8" s="2" t="s">
        <v>12</v>
      </c>
      <c r="G8" s="4">
        <f>G7-G6</f>
        <v>5</v>
      </c>
      <c r="N8" s="2" t="s">
        <v>12</v>
      </c>
      <c r="O8" s="4">
        <f>O7-O6</f>
        <v>213.39999999999998</v>
      </c>
    </row>
    <row r="9" spans="1:15" x14ac:dyDescent="0.2">
      <c r="A9" s="5" t="s">
        <v>13</v>
      </c>
      <c r="F9" s="12" t="s">
        <v>67</v>
      </c>
      <c r="G9" s="13">
        <f>_xlfn.STDEV.S(B5:D7)</f>
        <v>1.9039432764659769</v>
      </c>
      <c r="N9" s="12" t="s">
        <v>66</v>
      </c>
      <c r="O9" s="13">
        <f>((MAX(J5:L7)-MIN(J5:L7))/(MAX(J5:L7)+MIN(J5:L7)))*100</f>
        <v>13.56815869786368</v>
      </c>
    </row>
    <row r="10" spans="1:15" x14ac:dyDescent="0.2">
      <c r="A10" s="6" t="s">
        <v>14</v>
      </c>
      <c r="C10" s="34" t="s">
        <v>108</v>
      </c>
      <c r="D10" s="35"/>
      <c r="E10" s="35"/>
      <c r="F10" s="35"/>
      <c r="G10" s="35"/>
    </row>
    <row r="11" spans="1:15" x14ac:dyDescent="0.2">
      <c r="A11" s="6" t="s">
        <v>16</v>
      </c>
      <c r="C11" s="34" t="s">
        <v>120</v>
      </c>
      <c r="D11" s="35"/>
      <c r="E11" s="35"/>
      <c r="F11" s="35"/>
      <c r="G11" s="35"/>
    </row>
    <row r="12" spans="1:15" x14ac:dyDescent="0.2">
      <c r="A12" s="6" t="s">
        <v>18</v>
      </c>
      <c r="C12" s="34" t="s">
        <v>53</v>
      </c>
      <c r="D12" s="35"/>
      <c r="E12" s="35"/>
      <c r="F12" s="35"/>
      <c r="G12" s="35"/>
    </row>
    <row r="13" spans="1:15" x14ac:dyDescent="0.2">
      <c r="A13" s="6" t="s">
        <v>19</v>
      </c>
      <c r="C13" s="34" t="s">
        <v>128</v>
      </c>
      <c r="D13" s="35"/>
      <c r="E13" s="35"/>
      <c r="F13" s="35"/>
      <c r="G13" s="35"/>
    </row>
    <row r="15" spans="1:15" x14ac:dyDescent="0.2">
      <c r="A15" s="36" t="s">
        <v>20</v>
      </c>
      <c r="B15" s="37"/>
      <c r="C15" s="37"/>
      <c r="D15" s="37"/>
      <c r="I15" s="36" t="s">
        <v>21</v>
      </c>
      <c r="J15" s="37"/>
      <c r="K15" s="37"/>
      <c r="L15" s="37"/>
    </row>
    <row r="16" spans="1:15" x14ac:dyDescent="0.2">
      <c r="A16" s="1" t="s">
        <v>1</v>
      </c>
      <c r="B16" s="1" t="s">
        <v>2</v>
      </c>
      <c r="C16" s="1" t="s">
        <v>3</v>
      </c>
      <c r="D16" s="1" t="s">
        <v>4</v>
      </c>
      <c r="F16" s="38" t="s">
        <v>5</v>
      </c>
      <c r="G16" s="37"/>
      <c r="I16" s="1" t="s">
        <v>1</v>
      </c>
      <c r="J16" s="1" t="s">
        <v>2</v>
      </c>
      <c r="K16" s="1" t="s">
        <v>3</v>
      </c>
      <c r="L16" s="1" t="s">
        <v>4</v>
      </c>
      <c r="N16" s="38" t="s">
        <v>5</v>
      </c>
      <c r="O16" s="37"/>
    </row>
    <row r="17" spans="1:15" x14ac:dyDescent="0.2">
      <c r="A17" s="2" t="s">
        <v>6</v>
      </c>
      <c r="B17" s="3">
        <v>48.9</v>
      </c>
      <c r="C17" s="3">
        <v>53.3</v>
      </c>
      <c r="D17" s="3">
        <v>50.4</v>
      </c>
      <c r="F17" s="2" t="s">
        <v>7</v>
      </c>
      <c r="G17" s="4">
        <f>AVERAGE(B17:D19)</f>
        <v>51.855555555555554</v>
      </c>
      <c r="I17" s="2" t="s">
        <v>6</v>
      </c>
      <c r="J17" s="3">
        <v>710.1</v>
      </c>
      <c r="K17" s="3">
        <v>846.2</v>
      </c>
      <c r="L17" s="3">
        <v>698.2</v>
      </c>
      <c r="N17" s="2" t="s">
        <v>7</v>
      </c>
      <c r="O17" s="4">
        <f>AVERAGE(J17:L19)</f>
        <v>774.37777777777774</v>
      </c>
    </row>
    <row r="18" spans="1:15" x14ac:dyDescent="0.2">
      <c r="A18" s="2" t="s">
        <v>8</v>
      </c>
      <c r="B18" s="3">
        <v>51.1</v>
      </c>
      <c r="C18" s="3">
        <v>55</v>
      </c>
      <c r="D18" s="3">
        <v>52</v>
      </c>
      <c r="F18" s="2" t="s">
        <v>9</v>
      </c>
      <c r="G18" s="4">
        <f>MIN(B17:D19)</f>
        <v>48.9</v>
      </c>
      <c r="I18" s="2" t="s">
        <v>8</v>
      </c>
      <c r="J18" s="3">
        <v>765.1</v>
      </c>
      <c r="K18" s="3">
        <v>890</v>
      </c>
      <c r="L18" s="3">
        <v>780.8</v>
      </c>
      <c r="N18" s="2" t="s">
        <v>9</v>
      </c>
      <c r="O18" s="4">
        <f>MIN(J17:L19)</f>
        <v>698.2</v>
      </c>
    </row>
    <row r="19" spans="1:15" x14ac:dyDescent="0.2">
      <c r="A19" s="2" t="s">
        <v>10</v>
      </c>
      <c r="B19" s="3">
        <v>50.9</v>
      </c>
      <c r="C19" s="3">
        <v>54</v>
      </c>
      <c r="D19" s="3">
        <v>51.1</v>
      </c>
      <c r="F19" s="2" t="s">
        <v>11</v>
      </c>
      <c r="G19" s="4">
        <f>MAX(B17:D19)</f>
        <v>55</v>
      </c>
      <c r="I19" s="2" t="s">
        <v>10</v>
      </c>
      <c r="J19" s="3">
        <v>731.9</v>
      </c>
      <c r="K19" s="3">
        <v>821.1</v>
      </c>
      <c r="L19" s="3">
        <v>726</v>
      </c>
      <c r="N19" s="2" t="s">
        <v>11</v>
      </c>
      <c r="O19" s="4">
        <f>MAX(J17:L19)</f>
        <v>890</v>
      </c>
    </row>
    <row r="20" spans="1:15" x14ac:dyDescent="0.2">
      <c r="F20" s="2" t="s">
        <v>12</v>
      </c>
      <c r="G20" s="4">
        <f>G19-G18</f>
        <v>6.1000000000000014</v>
      </c>
      <c r="N20" s="2" t="s">
        <v>12</v>
      </c>
      <c r="O20" s="4">
        <f>O19-O18</f>
        <v>191.79999999999995</v>
      </c>
    </row>
    <row r="21" spans="1:15" x14ac:dyDescent="0.2">
      <c r="A21" s="5" t="s">
        <v>13</v>
      </c>
      <c r="F21" s="12" t="s">
        <v>67</v>
      </c>
      <c r="G21" s="13">
        <f>_xlfn.STDEV.S(B17:D19)</f>
        <v>1.9203587627778769</v>
      </c>
      <c r="N21" s="12" t="s">
        <v>66</v>
      </c>
      <c r="O21" s="13">
        <f>((MAX(J17:L19)-MIN(J17:L19))/(MAX(J17:L19)+MIN(J17:L19)))*100</f>
        <v>12.076564664399946</v>
      </c>
    </row>
    <row r="22" spans="1:15" x14ac:dyDescent="0.2">
      <c r="A22" s="6" t="s">
        <v>14</v>
      </c>
      <c r="C22" s="34" t="s">
        <v>108</v>
      </c>
      <c r="D22" s="35"/>
      <c r="E22" s="35"/>
      <c r="F22" s="35"/>
      <c r="G22" s="35"/>
    </row>
    <row r="23" spans="1:15" x14ac:dyDescent="0.2">
      <c r="A23" s="6" t="s">
        <v>16</v>
      </c>
      <c r="C23" s="34" t="s">
        <v>120</v>
      </c>
      <c r="D23" s="35"/>
      <c r="E23" s="35"/>
      <c r="F23" s="35"/>
      <c r="G23" s="35"/>
    </row>
    <row r="24" spans="1:15" x14ac:dyDescent="0.2">
      <c r="A24" s="6" t="s">
        <v>18</v>
      </c>
      <c r="C24" s="34" t="s">
        <v>53</v>
      </c>
      <c r="D24" s="35"/>
      <c r="E24" s="35"/>
      <c r="F24" s="35"/>
      <c r="G24" s="35"/>
    </row>
    <row r="25" spans="1:15" x14ac:dyDescent="0.2">
      <c r="A25" s="6" t="s">
        <v>19</v>
      </c>
      <c r="C25" s="34" t="s">
        <v>137</v>
      </c>
      <c r="D25" s="35"/>
      <c r="E25" s="35"/>
      <c r="F25" s="35"/>
      <c r="G25" s="35"/>
    </row>
    <row r="27" spans="1:15" x14ac:dyDescent="0.2">
      <c r="A27" s="36" t="s">
        <v>20</v>
      </c>
      <c r="B27" s="37"/>
      <c r="C27" s="37"/>
      <c r="D27" s="37"/>
      <c r="I27" s="36" t="s">
        <v>21</v>
      </c>
      <c r="J27" s="37"/>
      <c r="K27" s="37"/>
      <c r="L27" s="37"/>
    </row>
    <row r="28" spans="1:15" x14ac:dyDescent="0.2">
      <c r="A28" s="1" t="s">
        <v>1</v>
      </c>
      <c r="B28" s="1" t="s">
        <v>2</v>
      </c>
      <c r="C28" s="1" t="s">
        <v>3</v>
      </c>
      <c r="D28" s="1" t="s">
        <v>4</v>
      </c>
      <c r="F28" s="38" t="s">
        <v>5</v>
      </c>
      <c r="G28" s="37"/>
      <c r="I28" s="1" t="s">
        <v>1</v>
      </c>
      <c r="J28" s="1" t="s">
        <v>2</v>
      </c>
      <c r="K28" s="1" t="s">
        <v>3</v>
      </c>
      <c r="L28" s="1" t="s">
        <v>4</v>
      </c>
      <c r="N28" s="38" t="s">
        <v>5</v>
      </c>
      <c r="O28" s="37"/>
    </row>
    <row r="29" spans="1:15" x14ac:dyDescent="0.2">
      <c r="A29" s="2" t="s">
        <v>6</v>
      </c>
      <c r="B29" s="3">
        <v>50.2</v>
      </c>
      <c r="C29" s="3">
        <v>52.8</v>
      </c>
      <c r="D29" s="3">
        <v>50.8</v>
      </c>
      <c r="F29" s="2" t="s">
        <v>7</v>
      </c>
      <c r="G29" s="4">
        <f>AVERAGE(B29:D31)</f>
        <v>52.077777777777783</v>
      </c>
      <c r="I29" s="2" t="s">
        <v>6</v>
      </c>
      <c r="J29" s="3">
        <v>719.3</v>
      </c>
      <c r="K29" s="3">
        <v>872.9</v>
      </c>
      <c r="L29" s="3">
        <v>714.9</v>
      </c>
      <c r="N29" s="2" t="s">
        <v>7</v>
      </c>
      <c r="O29" s="4">
        <f>AVERAGE(J29:L31)</f>
        <v>791.63333333333333</v>
      </c>
    </row>
    <row r="30" spans="1:15" x14ac:dyDescent="0.2">
      <c r="A30" s="2" t="s">
        <v>8</v>
      </c>
      <c r="B30" s="3">
        <v>51.5</v>
      </c>
      <c r="C30" s="3">
        <v>54.5</v>
      </c>
      <c r="D30" s="3">
        <v>53.2</v>
      </c>
      <c r="F30" s="2" t="s">
        <v>9</v>
      </c>
      <c r="G30" s="4">
        <f>MIN(B29:D31)</f>
        <v>49.8</v>
      </c>
      <c r="I30" s="2" t="s">
        <v>8</v>
      </c>
      <c r="J30" s="3">
        <v>764.5</v>
      </c>
      <c r="K30" s="3">
        <v>914</v>
      </c>
      <c r="L30" s="3">
        <v>806.6</v>
      </c>
      <c r="N30" s="2" t="s">
        <v>9</v>
      </c>
      <c r="O30" s="4">
        <f>MIN(J29:L31)</f>
        <v>714.9</v>
      </c>
    </row>
    <row r="31" spans="1:15" x14ac:dyDescent="0.2">
      <c r="A31" s="2" t="s">
        <v>10</v>
      </c>
      <c r="B31" s="3">
        <v>49.8</v>
      </c>
      <c r="C31" s="3">
        <v>53.8</v>
      </c>
      <c r="D31" s="3">
        <v>52.1</v>
      </c>
      <c r="F31" s="2" t="s">
        <v>11</v>
      </c>
      <c r="G31" s="4">
        <f>MAX(B29:D31)</f>
        <v>54.5</v>
      </c>
      <c r="I31" s="2" t="s">
        <v>10</v>
      </c>
      <c r="J31" s="3">
        <v>715.4</v>
      </c>
      <c r="K31" s="3">
        <v>850</v>
      </c>
      <c r="L31" s="3">
        <v>767.1</v>
      </c>
      <c r="N31" s="2" t="s">
        <v>11</v>
      </c>
      <c r="O31" s="4">
        <f>MAX(J29:L31)</f>
        <v>914</v>
      </c>
    </row>
    <row r="32" spans="1:15" x14ac:dyDescent="0.2">
      <c r="F32" s="2" t="s">
        <v>12</v>
      </c>
      <c r="G32" s="4">
        <f>G31-G30</f>
        <v>4.7000000000000028</v>
      </c>
      <c r="N32" s="2" t="s">
        <v>12</v>
      </c>
      <c r="O32" s="4">
        <f>O31-O30</f>
        <v>199.10000000000002</v>
      </c>
    </row>
    <row r="33" spans="1:15" x14ac:dyDescent="0.2">
      <c r="A33" s="5" t="s">
        <v>13</v>
      </c>
      <c r="F33" s="12" t="s">
        <v>67</v>
      </c>
      <c r="G33" s="13">
        <f>_xlfn.STDEV.S(B29:D31)</f>
        <v>1.6315466418231641</v>
      </c>
      <c r="N33" s="12" t="s">
        <v>66</v>
      </c>
      <c r="O33" s="13">
        <f>((MAX(J29:L31)-MIN(J29:L31))/(MAX(J29:L31)+MIN(J29:L31)))*100</f>
        <v>12.22297255816809</v>
      </c>
    </row>
    <row r="34" spans="1:15" x14ac:dyDescent="0.2">
      <c r="A34" s="6" t="s">
        <v>14</v>
      </c>
      <c r="C34" s="34" t="s">
        <v>108</v>
      </c>
      <c r="D34" s="35"/>
      <c r="E34" s="35"/>
      <c r="F34" s="35"/>
      <c r="G34" s="35"/>
    </row>
    <row r="35" spans="1:15" x14ac:dyDescent="0.2">
      <c r="A35" s="6" t="s">
        <v>16</v>
      </c>
      <c r="C35" s="34" t="s">
        <v>120</v>
      </c>
      <c r="D35" s="35"/>
      <c r="E35" s="35"/>
      <c r="F35" s="35"/>
      <c r="G35" s="35"/>
    </row>
    <row r="36" spans="1:15" x14ac:dyDescent="0.2">
      <c r="A36" s="6" t="s">
        <v>18</v>
      </c>
      <c r="C36" s="34" t="s">
        <v>53</v>
      </c>
      <c r="D36" s="35"/>
      <c r="E36" s="35"/>
      <c r="F36" s="35"/>
      <c r="G36" s="35"/>
    </row>
    <row r="37" spans="1:15" x14ac:dyDescent="0.2">
      <c r="A37" s="6" t="s">
        <v>19</v>
      </c>
      <c r="C37" s="34" t="s">
        <v>138</v>
      </c>
      <c r="D37" s="35"/>
      <c r="E37" s="35"/>
      <c r="F37" s="35"/>
      <c r="G37" s="35"/>
    </row>
  </sheetData>
  <mergeCells count="24">
    <mergeCell ref="N28:O28"/>
    <mergeCell ref="C34:G34"/>
    <mergeCell ref="C35:G35"/>
    <mergeCell ref="C36:G36"/>
    <mergeCell ref="C37:G37"/>
    <mergeCell ref="C22:G22"/>
    <mergeCell ref="C23:G23"/>
    <mergeCell ref="C24:G24"/>
    <mergeCell ref="C25:G25"/>
    <mergeCell ref="A27:D27"/>
    <mergeCell ref="F28:G28"/>
    <mergeCell ref="I27:L27"/>
    <mergeCell ref="C12:G12"/>
    <mergeCell ref="C13:G13"/>
    <mergeCell ref="A15:D15"/>
    <mergeCell ref="I15:L15"/>
    <mergeCell ref="F16:G16"/>
    <mergeCell ref="N16:O16"/>
    <mergeCell ref="A3:D3"/>
    <mergeCell ref="I3:L3"/>
    <mergeCell ref="F4:G4"/>
    <mergeCell ref="N4:O4"/>
    <mergeCell ref="C10:G10"/>
    <mergeCell ref="C11:G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3488-6AC9-D148-B058-1EF636F376E8}">
  <dimension ref="A1:O28"/>
  <sheetViews>
    <sheetView tabSelected="1" workbookViewId="0">
      <selection activeCell="L29" sqref="L29"/>
    </sheetView>
  </sheetViews>
  <sheetFormatPr baseColWidth="10" defaultRowHeight="15" x14ac:dyDescent="0.2"/>
  <sheetData>
    <row r="1" spans="1:15" x14ac:dyDescent="0.2">
      <c r="A1" t="s">
        <v>140</v>
      </c>
    </row>
    <row r="5" spans="1:15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</row>
    <row r="6" spans="1:15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</row>
    <row r="7" spans="1:15" x14ac:dyDescent="0.2">
      <c r="A7" s="2" t="s">
        <v>6</v>
      </c>
      <c r="B7" s="3">
        <v>50</v>
      </c>
      <c r="C7" s="3">
        <v>54.8</v>
      </c>
      <c r="D7" s="3">
        <v>52</v>
      </c>
      <c r="F7" s="2" t="s">
        <v>7</v>
      </c>
      <c r="G7" s="4">
        <f>AVERAGE(B7:D9)</f>
        <v>53.244444444444447</v>
      </c>
      <c r="I7" s="2" t="s">
        <v>6</v>
      </c>
      <c r="J7" s="3">
        <v>690.3</v>
      </c>
      <c r="K7" s="3">
        <v>842.9</v>
      </c>
      <c r="L7" s="3">
        <v>673.1</v>
      </c>
      <c r="N7" s="2" t="s">
        <v>7</v>
      </c>
      <c r="O7" s="4">
        <f>AVERAGE(J7:L9)</f>
        <v>775.8</v>
      </c>
    </row>
    <row r="8" spans="1:15" x14ac:dyDescent="0.2">
      <c r="A8" s="2" t="s">
        <v>8</v>
      </c>
      <c r="B8" s="3">
        <v>53.9</v>
      </c>
      <c r="C8" s="3">
        <v>55</v>
      </c>
      <c r="D8" s="3">
        <v>55</v>
      </c>
      <c r="F8" s="2" t="s">
        <v>9</v>
      </c>
      <c r="G8" s="4">
        <f>MIN(B7:D9)</f>
        <v>50</v>
      </c>
      <c r="I8" s="2" t="s">
        <v>8</v>
      </c>
      <c r="J8" s="3">
        <v>762.3</v>
      </c>
      <c r="K8" s="3">
        <v>896.4</v>
      </c>
      <c r="L8" s="3">
        <v>825.7</v>
      </c>
      <c r="N8" s="2" t="s">
        <v>9</v>
      </c>
      <c r="O8" s="4">
        <f>MIN(J7:L9)</f>
        <v>673.1</v>
      </c>
    </row>
    <row r="9" spans="1:15" x14ac:dyDescent="0.2">
      <c r="A9" s="2" t="s">
        <v>10</v>
      </c>
      <c r="B9" s="3">
        <v>51</v>
      </c>
      <c r="C9" s="3">
        <v>53</v>
      </c>
      <c r="D9" s="3">
        <v>54.5</v>
      </c>
      <c r="F9" s="2" t="s">
        <v>11</v>
      </c>
      <c r="G9" s="4">
        <f>MAX(B7:D9)</f>
        <v>55</v>
      </c>
      <c r="I9" s="2" t="s">
        <v>10</v>
      </c>
      <c r="J9" s="3">
        <v>712.7</v>
      </c>
      <c r="K9" s="3">
        <v>819.8</v>
      </c>
      <c r="L9" s="3">
        <v>759</v>
      </c>
      <c r="N9" s="2" t="s">
        <v>11</v>
      </c>
      <c r="O9" s="4">
        <f>MAX(J7:L9)</f>
        <v>896.4</v>
      </c>
    </row>
    <row r="10" spans="1:15" x14ac:dyDescent="0.2">
      <c r="F10" s="2" t="s">
        <v>12</v>
      </c>
      <c r="G10" s="4">
        <f>G9-G8</f>
        <v>5</v>
      </c>
      <c r="N10" s="2" t="s">
        <v>12</v>
      </c>
      <c r="O10" s="4">
        <f>O9-O8</f>
        <v>223.29999999999995</v>
      </c>
    </row>
    <row r="11" spans="1:15" x14ac:dyDescent="0.2">
      <c r="A11" s="5" t="s">
        <v>13</v>
      </c>
      <c r="F11" s="12" t="s">
        <v>67</v>
      </c>
      <c r="G11" s="13">
        <f>_xlfn.STDEV.S(B7:D9)</f>
        <v>1.8628681589897274</v>
      </c>
      <c r="N11" s="12" t="s">
        <v>66</v>
      </c>
      <c r="O11" s="13">
        <f>((MAX(J7:L9)-MIN(J7:L9))/(MAX(J7:L9)+MIN(J7:L9)))*100</f>
        <v>14.227460974832745</v>
      </c>
    </row>
    <row r="12" spans="1:15" x14ac:dyDescent="0.2">
      <c r="A12" s="6" t="s">
        <v>14</v>
      </c>
      <c r="C12" s="34" t="s">
        <v>108</v>
      </c>
      <c r="D12" s="35"/>
      <c r="E12" s="35"/>
      <c r="F12" s="35"/>
      <c r="G12" s="35"/>
    </row>
    <row r="13" spans="1:15" x14ac:dyDescent="0.2">
      <c r="A13" s="6" t="s">
        <v>16</v>
      </c>
      <c r="C13" s="34" t="s">
        <v>120</v>
      </c>
      <c r="D13" s="35"/>
      <c r="E13" s="35"/>
      <c r="F13" s="35"/>
      <c r="G13" s="35"/>
    </row>
    <row r="14" spans="1:15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15" x14ac:dyDescent="0.2">
      <c r="A15" s="6" t="s">
        <v>19</v>
      </c>
      <c r="C15" s="34" t="s">
        <v>139</v>
      </c>
      <c r="D15" s="35"/>
      <c r="E15" s="35"/>
      <c r="F15" s="35"/>
      <c r="G15" s="35"/>
    </row>
    <row r="18" spans="1:15" x14ac:dyDescent="0.2">
      <c r="A18" s="36" t="s">
        <v>20</v>
      </c>
      <c r="B18" s="37"/>
      <c r="C18" s="37"/>
      <c r="D18" s="37"/>
      <c r="I18" s="36" t="s">
        <v>21</v>
      </c>
      <c r="J18" s="37"/>
      <c r="K18" s="37"/>
      <c r="L18" s="37"/>
    </row>
    <row r="19" spans="1:15" x14ac:dyDescent="0.2">
      <c r="A19" s="1" t="s">
        <v>1</v>
      </c>
      <c r="B19" s="1" t="s">
        <v>2</v>
      </c>
      <c r="C19" s="1" t="s">
        <v>3</v>
      </c>
      <c r="D19" s="1" t="s">
        <v>4</v>
      </c>
      <c r="F19" s="38" t="s">
        <v>5</v>
      </c>
      <c r="G19" s="37"/>
      <c r="I19" s="1" t="s">
        <v>1</v>
      </c>
      <c r="J19" s="1" t="s">
        <v>2</v>
      </c>
      <c r="K19" s="1" t="s">
        <v>3</v>
      </c>
      <c r="L19" s="1" t="s">
        <v>4</v>
      </c>
      <c r="N19" s="38" t="s">
        <v>5</v>
      </c>
      <c r="O19" s="37"/>
    </row>
    <row r="20" spans="1:15" x14ac:dyDescent="0.2">
      <c r="A20" s="2" t="s">
        <v>6</v>
      </c>
      <c r="B20" s="3">
        <v>52</v>
      </c>
      <c r="C20" s="3">
        <v>57</v>
      </c>
      <c r="D20" s="3">
        <v>55</v>
      </c>
      <c r="F20" s="2" t="s">
        <v>7</v>
      </c>
      <c r="G20" s="4">
        <f>AVERAGE(B20:D22)</f>
        <v>55.911111111111119</v>
      </c>
      <c r="I20" s="2" t="s">
        <v>6</v>
      </c>
      <c r="J20" s="3">
        <v>703</v>
      </c>
      <c r="K20" s="3">
        <v>824.6</v>
      </c>
      <c r="L20" s="3">
        <v>722.9</v>
      </c>
      <c r="N20" s="2" t="s">
        <v>7</v>
      </c>
      <c r="O20" s="4">
        <f>AVERAGE(J20:L22)</f>
        <v>779.97777777777776</v>
      </c>
    </row>
    <row r="21" spans="1:15" x14ac:dyDescent="0.2">
      <c r="A21" s="2" t="s">
        <v>8</v>
      </c>
      <c r="B21" s="3">
        <v>56</v>
      </c>
      <c r="C21" s="3">
        <v>58</v>
      </c>
      <c r="D21" s="3">
        <v>57</v>
      </c>
      <c r="F21" s="2" t="s">
        <v>9</v>
      </c>
      <c r="G21" s="4">
        <f>MIN(B20:D22)</f>
        <v>52</v>
      </c>
      <c r="I21" s="2" t="s">
        <v>8</v>
      </c>
      <c r="J21" s="3">
        <v>762.9</v>
      </c>
      <c r="K21" s="3">
        <v>901.7</v>
      </c>
      <c r="L21" s="3">
        <v>816.5</v>
      </c>
      <c r="N21" s="2" t="s">
        <v>9</v>
      </c>
      <c r="O21" s="4">
        <f>MIN(J20:L22)</f>
        <v>703</v>
      </c>
    </row>
    <row r="22" spans="1:15" x14ac:dyDescent="0.2">
      <c r="A22" s="2" t="s">
        <v>10</v>
      </c>
      <c r="B22" s="3">
        <v>52.8</v>
      </c>
      <c r="C22" s="3">
        <v>57.8</v>
      </c>
      <c r="D22" s="3">
        <v>57.6</v>
      </c>
      <c r="F22" s="2" t="s">
        <v>11</v>
      </c>
      <c r="G22" s="4">
        <f>MAX(B20:D22)</f>
        <v>58</v>
      </c>
      <c r="I22" s="2" t="s">
        <v>10</v>
      </c>
      <c r="J22" s="3">
        <v>706.8</v>
      </c>
      <c r="K22" s="3">
        <v>813.2</v>
      </c>
      <c r="L22" s="3">
        <v>768.2</v>
      </c>
      <c r="N22" s="2" t="s">
        <v>11</v>
      </c>
      <c r="O22" s="4">
        <f>MAX(J20:L22)</f>
        <v>901.7</v>
      </c>
    </row>
    <row r="23" spans="1:15" x14ac:dyDescent="0.2">
      <c r="F23" s="2" t="s">
        <v>12</v>
      </c>
      <c r="G23" s="4">
        <f>G22-G21</f>
        <v>6</v>
      </c>
      <c r="N23" s="2" t="s">
        <v>12</v>
      </c>
      <c r="O23" s="4">
        <f>O22-O21</f>
        <v>198.70000000000005</v>
      </c>
    </row>
    <row r="24" spans="1:15" x14ac:dyDescent="0.2">
      <c r="A24" s="5" t="s">
        <v>13</v>
      </c>
      <c r="F24" s="12" t="s">
        <v>67</v>
      </c>
      <c r="G24" s="13">
        <f>_xlfn.STDEV.S(B20:D22)</f>
        <v>2.2070593809662467</v>
      </c>
      <c r="N24" s="12" t="s">
        <v>66</v>
      </c>
      <c r="O24" s="13">
        <f>((MAX(J20:L22)-MIN(J20:L22))/(MAX(J20:L22)+MIN(J20:L22)))*100</f>
        <v>12.382376768243288</v>
      </c>
    </row>
    <row r="25" spans="1:15" x14ac:dyDescent="0.2">
      <c r="A25" s="6" t="s">
        <v>14</v>
      </c>
      <c r="C25" s="34" t="s">
        <v>108</v>
      </c>
      <c r="D25" s="35"/>
      <c r="E25" s="35"/>
      <c r="F25" s="35"/>
      <c r="G25" s="35"/>
    </row>
    <row r="26" spans="1:15" x14ac:dyDescent="0.2">
      <c r="A26" s="6" t="s">
        <v>16</v>
      </c>
      <c r="C26" s="34" t="s">
        <v>120</v>
      </c>
      <c r="D26" s="35"/>
      <c r="E26" s="35"/>
      <c r="F26" s="35"/>
      <c r="G26" s="35"/>
    </row>
    <row r="27" spans="1:15" x14ac:dyDescent="0.2">
      <c r="A27" s="6" t="s">
        <v>18</v>
      </c>
      <c r="C27" s="34" t="s">
        <v>53</v>
      </c>
      <c r="D27" s="35"/>
      <c r="E27" s="35"/>
      <c r="F27" s="35"/>
      <c r="G27" s="35"/>
    </row>
    <row r="28" spans="1:15" x14ac:dyDescent="0.2">
      <c r="A28" s="6" t="s">
        <v>19</v>
      </c>
      <c r="C28" s="34" t="s">
        <v>139</v>
      </c>
      <c r="D28" s="35"/>
      <c r="E28" s="35"/>
      <c r="F28" s="35"/>
      <c r="G28" s="35"/>
    </row>
  </sheetData>
  <mergeCells count="16">
    <mergeCell ref="C25:G25"/>
    <mergeCell ref="C26:G26"/>
    <mergeCell ref="C27:G27"/>
    <mergeCell ref="C28:G28"/>
    <mergeCell ref="C14:G14"/>
    <mergeCell ref="C15:G15"/>
    <mergeCell ref="A18:D18"/>
    <mergeCell ref="I18:L18"/>
    <mergeCell ref="F19:G19"/>
    <mergeCell ref="N19:O19"/>
    <mergeCell ref="A5:D5"/>
    <mergeCell ref="I5:L5"/>
    <mergeCell ref="F6:G6"/>
    <mergeCell ref="N6:O6"/>
    <mergeCell ref="C12:G12"/>
    <mergeCell ref="C13:G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FB25-E563-F445-AEC4-9F0D68F6844F}">
  <dimension ref="A1:O24"/>
  <sheetViews>
    <sheetView workbookViewId="0">
      <selection activeCell="A4" sqref="A4:P16"/>
    </sheetView>
  </sheetViews>
  <sheetFormatPr baseColWidth="10" defaultRowHeight="15" x14ac:dyDescent="0.2"/>
  <sheetData>
    <row r="1" spans="1:15" x14ac:dyDescent="0.2">
      <c r="A1" t="s">
        <v>141</v>
      </c>
    </row>
    <row r="5" spans="1:15" x14ac:dyDescent="0.2">
      <c r="A5" s="36" t="s">
        <v>20</v>
      </c>
      <c r="B5" s="37"/>
      <c r="C5" s="37"/>
      <c r="D5" s="37"/>
      <c r="I5" s="36" t="s">
        <v>21</v>
      </c>
      <c r="J5" s="37"/>
      <c r="K5" s="37"/>
      <c r="L5" s="37"/>
    </row>
    <row r="6" spans="1:15" x14ac:dyDescent="0.2">
      <c r="A6" s="1" t="s">
        <v>1</v>
      </c>
      <c r="B6" s="1" t="s">
        <v>2</v>
      </c>
      <c r="C6" s="1" t="s">
        <v>3</v>
      </c>
      <c r="D6" s="1" t="s">
        <v>4</v>
      </c>
      <c r="F6" s="38" t="s">
        <v>5</v>
      </c>
      <c r="G6" s="37"/>
      <c r="I6" s="1" t="s">
        <v>1</v>
      </c>
      <c r="J6" s="1" t="s">
        <v>2</v>
      </c>
      <c r="K6" s="1" t="s">
        <v>3</v>
      </c>
      <c r="L6" s="1" t="s">
        <v>4</v>
      </c>
      <c r="N6" s="38" t="s">
        <v>5</v>
      </c>
      <c r="O6" s="37"/>
    </row>
    <row r="7" spans="1:15" x14ac:dyDescent="0.2">
      <c r="A7" s="2" t="s">
        <v>6</v>
      </c>
      <c r="B7" s="3">
        <v>50.3</v>
      </c>
      <c r="C7" s="3">
        <v>54.6</v>
      </c>
      <c r="D7" s="3">
        <v>52</v>
      </c>
      <c r="F7" s="2" t="s">
        <v>7</v>
      </c>
      <c r="G7" s="4">
        <f>AVERAGE(B7:D9)</f>
        <v>52.722222222222214</v>
      </c>
      <c r="I7" s="2" t="s">
        <v>6</v>
      </c>
      <c r="J7" s="3">
        <v>694.9</v>
      </c>
      <c r="K7" s="3">
        <v>799.3</v>
      </c>
      <c r="L7" s="3">
        <v>712.1</v>
      </c>
      <c r="N7" s="2" t="s">
        <v>7</v>
      </c>
      <c r="O7" s="4">
        <f>AVERAGE(J7:L9)</f>
        <v>763.52222222222201</v>
      </c>
    </row>
    <row r="8" spans="1:15" x14ac:dyDescent="0.2">
      <c r="A8" s="2" t="s">
        <v>8</v>
      </c>
      <c r="B8" s="3">
        <v>52.9</v>
      </c>
      <c r="C8" s="3">
        <v>55.4</v>
      </c>
      <c r="D8" s="3">
        <v>53.5</v>
      </c>
      <c r="F8" s="2" t="s">
        <v>9</v>
      </c>
      <c r="G8" s="4">
        <f>MIN(B7:D9)</f>
        <v>50.3</v>
      </c>
      <c r="I8" s="2" t="s">
        <v>8</v>
      </c>
      <c r="J8" s="3">
        <v>743.3</v>
      </c>
      <c r="K8" s="3">
        <v>880.6</v>
      </c>
      <c r="L8" s="3">
        <v>792</v>
      </c>
      <c r="N8" s="2" t="s">
        <v>9</v>
      </c>
      <c r="O8" s="4">
        <f>MIN(J7:L9)</f>
        <v>694.9</v>
      </c>
    </row>
    <row r="9" spans="1:15" x14ac:dyDescent="0.2">
      <c r="A9" s="2" t="s">
        <v>10</v>
      </c>
      <c r="B9" s="3">
        <v>51.2</v>
      </c>
      <c r="C9" s="3">
        <v>53.4</v>
      </c>
      <c r="D9" s="3">
        <v>51.2</v>
      </c>
      <c r="F9" s="2" t="s">
        <v>11</v>
      </c>
      <c r="G9" s="4">
        <f>MAX(B7:D9)</f>
        <v>55.4</v>
      </c>
      <c r="I9" s="2" t="s">
        <v>10</v>
      </c>
      <c r="J9" s="3">
        <v>710.7</v>
      </c>
      <c r="K9" s="3">
        <v>803.4</v>
      </c>
      <c r="L9" s="3">
        <v>735.4</v>
      </c>
      <c r="N9" s="2" t="s">
        <v>11</v>
      </c>
      <c r="O9" s="4">
        <f>MAX(J7:L9)</f>
        <v>880.6</v>
      </c>
    </row>
    <row r="10" spans="1:15" x14ac:dyDescent="0.2">
      <c r="F10" s="2" t="s">
        <v>12</v>
      </c>
      <c r="G10" s="4">
        <f>G9-G8</f>
        <v>5.1000000000000014</v>
      </c>
      <c r="N10" s="2" t="s">
        <v>12</v>
      </c>
      <c r="O10" s="4">
        <f>O9-O8</f>
        <v>185.70000000000005</v>
      </c>
    </row>
    <row r="11" spans="1:15" x14ac:dyDescent="0.2">
      <c r="A11" s="5" t="s">
        <v>13</v>
      </c>
      <c r="F11" s="12" t="s">
        <v>67</v>
      </c>
      <c r="G11" s="13">
        <f>_xlfn.STDEV.S(B7:D9)</f>
        <v>1.6887700981615121</v>
      </c>
      <c r="N11" s="12" t="s">
        <v>66</v>
      </c>
      <c r="O11" s="13">
        <f>((MAX(J7:L9)-MIN(J7:L9))/(MAX(J7:L9)+MIN(J7:L9)))*100</f>
        <v>11.786734370041261</v>
      </c>
    </row>
    <row r="12" spans="1:15" x14ac:dyDescent="0.2">
      <c r="A12" s="6" t="s">
        <v>14</v>
      </c>
      <c r="C12" s="34" t="s">
        <v>108</v>
      </c>
      <c r="D12" s="35"/>
      <c r="E12" s="35"/>
      <c r="F12" s="35"/>
      <c r="G12" s="35"/>
    </row>
    <row r="13" spans="1:15" x14ac:dyDescent="0.2">
      <c r="A13" s="6" t="s">
        <v>16</v>
      </c>
      <c r="C13" s="34" t="s">
        <v>120</v>
      </c>
      <c r="D13" s="35"/>
      <c r="E13" s="35"/>
      <c r="F13" s="35"/>
      <c r="G13" s="35"/>
    </row>
    <row r="14" spans="1:15" x14ac:dyDescent="0.2">
      <c r="A14" s="6" t="s">
        <v>18</v>
      </c>
      <c r="C14" s="34" t="s">
        <v>53</v>
      </c>
      <c r="D14" s="35"/>
      <c r="E14" s="35"/>
      <c r="F14" s="35"/>
      <c r="G14" s="35"/>
    </row>
    <row r="15" spans="1:15" x14ac:dyDescent="0.2">
      <c r="A15" s="6" t="s">
        <v>19</v>
      </c>
      <c r="C15" s="34" t="s">
        <v>139</v>
      </c>
      <c r="D15" s="35"/>
      <c r="E15" s="35"/>
      <c r="F15" s="35"/>
      <c r="G15" s="35"/>
    </row>
    <row r="17" spans="1:2" x14ac:dyDescent="0.2">
      <c r="A17" s="6" t="s">
        <v>148</v>
      </c>
    </row>
    <row r="18" spans="1:2" x14ac:dyDescent="0.2">
      <c r="A18" s="6" t="s">
        <v>142</v>
      </c>
      <c r="B18" t="s">
        <v>146</v>
      </c>
    </row>
    <row r="19" spans="1:2" x14ac:dyDescent="0.2">
      <c r="A19" s="6" t="s">
        <v>143</v>
      </c>
      <c r="B19" t="s">
        <v>147</v>
      </c>
    </row>
    <row r="20" spans="1:2" x14ac:dyDescent="0.2">
      <c r="A20" s="6" t="s">
        <v>144</v>
      </c>
    </row>
    <row r="21" spans="1:2" x14ac:dyDescent="0.2">
      <c r="A21" s="6" t="s">
        <v>145</v>
      </c>
    </row>
    <row r="23" spans="1:2" x14ac:dyDescent="0.2">
      <c r="A23" s="6" t="s">
        <v>149</v>
      </c>
    </row>
    <row r="24" spans="1:2" x14ac:dyDescent="0.2">
      <c r="A24" s="6" t="s">
        <v>150</v>
      </c>
    </row>
  </sheetData>
  <mergeCells count="8">
    <mergeCell ref="A5:D5"/>
    <mergeCell ref="I5:L5"/>
    <mergeCell ref="F6:G6"/>
    <mergeCell ref="N6:O6"/>
    <mergeCell ref="C12:G12"/>
    <mergeCell ref="C13:G13"/>
    <mergeCell ref="C14:G14"/>
    <mergeCell ref="C15:G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AC5E-C6DF-F344-B02A-26A8E3B209C7}">
  <dimension ref="A2:O12"/>
  <sheetViews>
    <sheetView workbookViewId="0">
      <selection activeCell="A2" sqref="A2:O12"/>
    </sheetView>
  </sheetViews>
  <sheetFormatPr baseColWidth="10" defaultRowHeight="15" x14ac:dyDescent="0.2"/>
  <sheetData>
    <row r="2" spans="1:15" x14ac:dyDescent="0.2">
      <c r="A2" s="36" t="s">
        <v>20</v>
      </c>
      <c r="B2" s="37"/>
      <c r="C2" s="37"/>
      <c r="D2" s="37"/>
      <c r="I2" s="36" t="s">
        <v>21</v>
      </c>
      <c r="J2" s="37"/>
      <c r="K2" s="37"/>
      <c r="L2" s="37"/>
    </row>
    <row r="3" spans="1:15" x14ac:dyDescent="0.2">
      <c r="A3" s="1" t="s">
        <v>1</v>
      </c>
      <c r="B3" s="1" t="s">
        <v>2</v>
      </c>
      <c r="C3" s="1" t="s">
        <v>3</v>
      </c>
      <c r="D3" s="1" t="s">
        <v>4</v>
      </c>
      <c r="F3" s="38" t="s">
        <v>5</v>
      </c>
      <c r="G3" s="37"/>
      <c r="I3" s="1" t="s">
        <v>1</v>
      </c>
      <c r="J3" s="1" t="s">
        <v>2</v>
      </c>
      <c r="K3" s="1" t="s">
        <v>3</v>
      </c>
      <c r="L3" s="1" t="s">
        <v>4</v>
      </c>
      <c r="N3" s="38" t="s">
        <v>5</v>
      </c>
      <c r="O3" s="37"/>
    </row>
    <row r="4" spans="1:15" x14ac:dyDescent="0.2">
      <c r="A4" s="2" t="s">
        <v>6</v>
      </c>
      <c r="B4" s="3">
        <v>51.5</v>
      </c>
      <c r="C4" s="3">
        <v>52</v>
      </c>
      <c r="D4" s="3">
        <v>53.9</v>
      </c>
      <c r="F4" s="2" t="s">
        <v>7</v>
      </c>
      <c r="G4" s="4">
        <f>AVERAGE(B4:D6)</f>
        <v>52.055555555555564</v>
      </c>
      <c r="I4" s="2" t="s">
        <v>6</v>
      </c>
      <c r="J4" s="3">
        <v>804.6</v>
      </c>
      <c r="K4" s="3">
        <v>777.5</v>
      </c>
      <c r="L4" s="3">
        <v>772.9</v>
      </c>
      <c r="N4" s="2" t="s">
        <v>7</v>
      </c>
      <c r="O4" s="4">
        <f>AVERAGE(J4:L6)</f>
        <v>782.06666666666672</v>
      </c>
    </row>
    <row r="5" spans="1:15" x14ac:dyDescent="0.2">
      <c r="A5" s="2" t="s">
        <v>8</v>
      </c>
      <c r="B5" s="3">
        <v>50.9</v>
      </c>
      <c r="C5" s="3">
        <v>52.8</v>
      </c>
      <c r="D5" s="3">
        <v>54.7</v>
      </c>
      <c r="F5" s="2" t="s">
        <v>9</v>
      </c>
      <c r="G5" s="4">
        <f>MIN(B4:D6)</f>
        <v>49.6</v>
      </c>
      <c r="I5" s="2" t="s">
        <v>8</v>
      </c>
      <c r="J5" s="3">
        <v>770.9</v>
      </c>
      <c r="K5" s="3">
        <v>773.4</v>
      </c>
      <c r="L5" s="3">
        <v>798</v>
      </c>
      <c r="N5" s="2" t="s">
        <v>9</v>
      </c>
      <c r="O5" s="4">
        <f>MIN(J4:L6)</f>
        <v>770.2</v>
      </c>
    </row>
    <row r="6" spans="1:15" x14ac:dyDescent="0.2">
      <c r="A6" s="2" t="s">
        <v>10</v>
      </c>
      <c r="B6" s="3">
        <v>49.6</v>
      </c>
      <c r="C6" s="3">
        <v>51.3</v>
      </c>
      <c r="D6" s="3">
        <v>51.8</v>
      </c>
      <c r="F6" s="2" t="s">
        <v>11</v>
      </c>
      <c r="G6" s="4">
        <f>MAX(B4:D6)</f>
        <v>54.7</v>
      </c>
      <c r="I6" s="2" t="s">
        <v>10</v>
      </c>
      <c r="J6" s="3">
        <v>770.2</v>
      </c>
      <c r="K6" s="3">
        <v>784.8</v>
      </c>
      <c r="L6" s="3">
        <v>786.3</v>
      </c>
      <c r="N6" s="2" t="s">
        <v>11</v>
      </c>
      <c r="O6" s="4">
        <f>MAX(J4:L6)</f>
        <v>804.6</v>
      </c>
    </row>
    <row r="7" spans="1:15" x14ac:dyDescent="0.2">
      <c r="F7" s="2" t="s">
        <v>12</v>
      </c>
      <c r="G7" s="4">
        <f>G6-G5</f>
        <v>5.1000000000000014</v>
      </c>
      <c r="N7" s="2" t="s">
        <v>12</v>
      </c>
      <c r="O7" s="4">
        <f>O6-O5</f>
        <v>34.399999999999977</v>
      </c>
    </row>
    <row r="8" spans="1:15" x14ac:dyDescent="0.2">
      <c r="A8" s="5" t="s">
        <v>13</v>
      </c>
      <c r="F8" s="12" t="s">
        <v>67</v>
      </c>
      <c r="G8" s="13">
        <f>_xlfn.STDEV.S(B4:D6)</f>
        <v>1.5517015749743177</v>
      </c>
      <c r="N8" s="12" t="s">
        <v>66</v>
      </c>
      <c r="O8" s="13">
        <f>((MAX(J4:L6)-MIN(J4:L6))/(MAX(J4:L6)+MIN(J4:L6)))*100</f>
        <v>2.1844043688087358</v>
      </c>
    </row>
    <row r="9" spans="1:15" x14ac:dyDescent="0.2">
      <c r="A9" s="6" t="s">
        <v>14</v>
      </c>
      <c r="C9" s="34" t="s">
        <v>86</v>
      </c>
      <c r="D9" s="35"/>
      <c r="E9" s="35"/>
      <c r="F9" s="35"/>
      <c r="G9" s="35"/>
    </row>
    <row r="10" spans="1:15" x14ac:dyDescent="0.2">
      <c r="A10" s="6" t="s">
        <v>16</v>
      </c>
      <c r="C10" s="34"/>
      <c r="D10" s="35"/>
      <c r="E10" s="35"/>
      <c r="F10" s="35"/>
      <c r="G10" s="35"/>
    </row>
    <row r="11" spans="1:15" x14ac:dyDescent="0.2">
      <c r="A11" s="6" t="s">
        <v>18</v>
      </c>
      <c r="C11" s="34"/>
      <c r="D11" s="35"/>
      <c r="E11" s="35"/>
      <c r="F11" s="35"/>
      <c r="G11" s="35"/>
    </row>
    <row r="12" spans="1:15" x14ac:dyDescent="0.2">
      <c r="A12" s="6" t="s">
        <v>19</v>
      </c>
      <c r="C12" s="34" t="s">
        <v>139</v>
      </c>
      <c r="D12" s="35"/>
      <c r="E12" s="35"/>
      <c r="F12" s="35"/>
      <c r="G12" s="35"/>
    </row>
  </sheetData>
  <mergeCells count="8">
    <mergeCell ref="A2:D2"/>
    <mergeCell ref="I2:L2"/>
    <mergeCell ref="F3:G3"/>
    <mergeCell ref="N3:O3"/>
    <mergeCell ref="C9:G9"/>
    <mergeCell ref="C10:G10"/>
    <mergeCell ref="C11:G11"/>
    <mergeCell ref="C12:G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62EB-F8B7-3A48-9009-DEFA23047542}">
  <dimension ref="A1:O14"/>
  <sheetViews>
    <sheetView workbookViewId="0">
      <selection activeCell="A3" sqref="A3:Q16"/>
    </sheetView>
  </sheetViews>
  <sheetFormatPr baseColWidth="10" defaultRowHeight="15" x14ac:dyDescent="0.2"/>
  <sheetData>
    <row r="1" spans="1:15" ht="19" x14ac:dyDescent="0.25">
      <c r="A1" s="33" t="s">
        <v>151</v>
      </c>
    </row>
    <row r="2" spans="1:15" ht="19" x14ac:dyDescent="0.25">
      <c r="A2" s="33" t="s">
        <v>152</v>
      </c>
    </row>
    <row r="4" spans="1:15" x14ac:dyDescent="0.2">
      <c r="A4" s="36" t="s">
        <v>20</v>
      </c>
      <c r="B4" s="37"/>
      <c r="C4" s="37"/>
      <c r="D4" s="37"/>
      <c r="I4" s="36" t="s">
        <v>21</v>
      </c>
      <c r="J4" s="37"/>
      <c r="K4" s="37"/>
      <c r="L4" s="37"/>
    </row>
    <row r="5" spans="1:15" x14ac:dyDescent="0.2">
      <c r="A5" s="1" t="s">
        <v>1</v>
      </c>
      <c r="B5" s="1" t="s">
        <v>2</v>
      </c>
      <c r="C5" s="1" t="s">
        <v>3</v>
      </c>
      <c r="D5" s="1" t="s">
        <v>4</v>
      </c>
      <c r="F5" s="38" t="s">
        <v>5</v>
      </c>
      <c r="G5" s="37"/>
      <c r="I5" s="1" t="s">
        <v>1</v>
      </c>
      <c r="J5" s="1" t="s">
        <v>2</v>
      </c>
      <c r="K5" s="1" t="s">
        <v>3</v>
      </c>
      <c r="L5" s="1" t="s">
        <v>4</v>
      </c>
      <c r="N5" s="38" t="s">
        <v>5</v>
      </c>
      <c r="O5" s="37"/>
    </row>
    <row r="6" spans="1:15" x14ac:dyDescent="0.2">
      <c r="A6" s="2" t="s">
        <v>6</v>
      </c>
      <c r="B6" s="3">
        <v>49.7</v>
      </c>
      <c r="C6" s="3">
        <v>50.1</v>
      </c>
      <c r="D6" s="3">
        <v>49.8</v>
      </c>
      <c r="F6" s="2" t="s">
        <v>7</v>
      </c>
      <c r="G6" s="4">
        <f>AVERAGE(B6:D8)</f>
        <v>51.222222222222229</v>
      </c>
      <c r="I6" s="2" t="s">
        <v>6</v>
      </c>
      <c r="J6" s="3">
        <v>655.20000000000005</v>
      </c>
      <c r="K6" s="3">
        <v>773.5</v>
      </c>
      <c r="L6" s="3">
        <v>669.8</v>
      </c>
      <c r="N6" s="2" t="s">
        <v>7</v>
      </c>
      <c r="O6" s="4">
        <f>AVERAGE(J6:L8)</f>
        <v>768.81111111111113</v>
      </c>
    </row>
    <row r="7" spans="1:15" x14ac:dyDescent="0.2">
      <c r="A7" s="2" t="s">
        <v>8</v>
      </c>
      <c r="B7" s="3">
        <v>52.5</v>
      </c>
      <c r="C7" s="3">
        <v>53.5</v>
      </c>
      <c r="D7" s="3">
        <v>53.1</v>
      </c>
      <c r="F7" s="2" t="s">
        <v>9</v>
      </c>
      <c r="G7" s="4">
        <f>MIN(B6:D8)</f>
        <v>49.7</v>
      </c>
      <c r="I7" s="2" t="s">
        <v>8</v>
      </c>
      <c r="J7" s="3">
        <v>734.8</v>
      </c>
      <c r="K7" s="3">
        <v>908.5</v>
      </c>
      <c r="L7" s="3">
        <v>817.1</v>
      </c>
      <c r="N7" s="2" t="s">
        <v>9</v>
      </c>
      <c r="O7" s="4">
        <f>MIN(J6:L8)</f>
        <v>655.20000000000005</v>
      </c>
    </row>
    <row r="8" spans="1:15" x14ac:dyDescent="0.2">
      <c r="A8" s="2" t="s">
        <v>10</v>
      </c>
      <c r="B8" s="3">
        <v>50</v>
      </c>
      <c r="C8" s="3">
        <v>50.5</v>
      </c>
      <c r="D8" s="3">
        <v>51.8</v>
      </c>
      <c r="F8" s="2" t="s">
        <v>11</v>
      </c>
      <c r="G8" s="4">
        <f>MAX(B6:D8)</f>
        <v>53.5</v>
      </c>
      <c r="I8" s="2" t="s">
        <v>10</v>
      </c>
      <c r="J8" s="3">
        <v>714</v>
      </c>
      <c r="K8" s="3">
        <v>859.4</v>
      </c>
      <c r="L8" s="3">
        <v>787</v>
      </c>
      <c r="N8" s="2" t="s">
        <v>11</v>
      </c>
      <c r="O8" s="4">
        <f>MAX(J6:L8)</f>
        <v>908.5</v>
      </c>
    </row>
    <row r="9" spans="1:15" x14ac:dyDescent="0.2">
      <c r="F9" s="2" t="s">
        <v>12</v>
      </c>
      <c r="G9" s="4">
        <f>G8-G7</f>
        <v>3.7999999999999972</v>
      </c>
      <c r="N9" s="2" t="s">
        <v>12</v>
      </c>
      <c r="O9" s="4">
        <f>O8-O7</f>
        <v>253.29999999999995</v>
      </c>
    </row>
    <row r="10" spans="1:15" x14ac:dyDescent="0.2">
      <c r="A10" s="5" t="s">
        <v>13</v>
      </c>
      <c r="F10" s="12" t="s">
        <v>67</v>
      </c>
      <c r="G10" s="13">
        <f>_xlfn.STDEV.S(B6:D8)</f>
        <v>1.5122646740714552</v>
      </c>
      <c r="N10" s="12" t="s">
        <v>66</v>
      </c>
      <c r="O10" s="13">
        <f>((MAX(J6:L8)-MIN(J6:L8))/(MAX(J6:L8)+MIN(J6:L8)))*100</f>
        <v>16.198759352817031</v>
      </c>
    </row>
    <row r="11" spans="1:15" x14ac:dyDescent="0.2">
      <c r="A11" s="6" t="s">
        <v>14</v>
      </c>
      <c r="C11" s="34" t="s">
        <v>154</v>
      </c>
      <c r="D11" s="35"/>
      <c r="E11" s="35"/>
      <c r="F11" s="35"/>
      <c r="G11" s="35"/>
    </row>
    <row r="12" spans="1:15" x14ac:dyDescent="0.2">
      <c r="A12" s="6" t="s">
        <v>16</v>
      </c>
      <c r="C12" s="34" t="s">
        <v>153</v>
      </c>
      <c r="D12" s="35"/>
      <c r="E12" s="35"/>
      <c r="F12" s="35"/>
      <c r="G12" s="35"/>
    </row>
    <row r="13" spans="1:15" x14ac:dyDescent="0.2">
      <c r="A13" s="6" t="s">
        <v>18</v>
      </c>
      <c r="C13" s="34" t="s">
        <v>155</v>
      </c>
      <c r="D13" s="35"/>
      <c r="E13" s="35"/>
      <c r="F13" s="35"/>
      <c r="G13" s="35"/>
    </row>
    <row r="14" spans="1:15" x14ac:dyDescent="0.2">
      <c r="A14" s="6" t="s">
        <v>19</v>
      </c>
      <c r="C14" s="34" t="s">
        <v>139</v>
      </c>
      <c r="D14" s="35"/>
      <c r="E14" s="35"/>
      <c r="F14" s="35"/>
      <c r="G14" s="35"/>
    </row>
  </sheetData>
  <mergeCells count="8">
    <mergeCell ref="N5:O5"/>
    <mergeCell ref="C11:G11"/>
    <mergeCell ref="C12:G12"/>
    <mergeCell ref="C13:G13"/>
    <mergeCell ref="C14:G14"/>
    <mergeCell ref="A4:D4"/>
    <mergeCell ref="I4:L4"/>
    <mergeCell ref="F5:G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7B1-3619-DB49-8CDD-66BA16CDFBB2}">
  <dimension ref="A4:O14"/>
  <sheetViews>
    <sheetView workbookViewId="0">
      <selection activeCell="A3" sqref="A3:O15"/>
    </sheetView>
  </sheetViews>
  <sheetFormatPr baseColWidth="10" defaultRowHeight="15" x14ac:dyDescent="0.2"/>
  <sheetData>
    <row r="4" spans="1:15" x14ac:dyDescent="0.2">
      <c r="A4" s="36" t="s">
        <v>20</v>
      </c>
      <c r="B4" s="37"/>
      <c r="C4" s="37"/>
      <c r="D4" s="37"/>
      <c r="I4" s="36" t="s">
        <v>21</v>
      </c>
      <c r="J4" s="37"/>
      <c r="K4" s="37"/>
      <c r="L4" s="37"/>
    </row>
    <row r="5" spans="1:15" x14ac:dyDescent="0.2">
      <c r="A5" s="1" t="s">
        <v>1</v>
      </c>
      <c r="B5" s="1" t="s">
        <v>2</v>
      </c>
      <c r="C5" s="1" t="s">
        <v>3</v>
      </c>
      <c r="D5" s="1" t="s">
        <v>4</v>
      </c>
      <c r="F5" s="38" t="s">
        <v>5</v>
      </c>
      <c r="G5" s="37"/>
      <c r="I5" s="1" t="s">
        <v>1</v>
      </c>
      <c r="J5" s="1" t="s">
        <v>2</v>
      </c>
      <c r="K5" s="1" t="s">
        <v>3</v>
      </c>
      <c r="L5" s="1" t="s">
        <v>4</v>
      </c>
      <c r="N5" s="38" t="s">
        <v>5</v>
      </c>
      <c r="O5" s="37"/>
    </row>
    <row r="6" spans="1:15" x14ac:dyDescent="0.2">
      <c r="A6" s="2" t="s">
        <v>6</v>
      </c>
      <c r="B6" s="3">
        <v>49.7</v>
      </c>
      <c r="C6" s="3">
        <v>50.1</v>
      </c>
      <c r="D6" s="3">
        <v>49.8</v>
      </c>
      <c r="F6" s="2" t="s">
        <v>7</v>
      </c>
      <c r="G6" s="4">
        <f>AVERAGE(B6:D8)</f>
        <v>51.222222222222229</v>
      </c>
      <c r="I6" s="2" t="s">
        <v>6</v>
      </c>
      <c r="J6" s="3">
        <v>802.8</v>
      </c>
      <c r="K6" s="3"/>
      <c r="L6" s="3"/>
      <c r="N6" s="2" t="s">
        <v>7</v>
      </c>
      <c r="O6" s="4">
        <f>AVERAGE(J6:L8)</f>
        <v>802.8</v>
      </c>
    </row>
    <row r="7" spans="1:15" x14ac:dyDescent="0.2">
      <c r="A7" s="2" t="s">
        <v>8</v>
      </c>
      <c r="B7" s="3">
        <v>52.5</v>
      </c>
      <c r="C7" s="3">
        <v>53.5</v>
      </c>
      <c r="D7" s="3">
        <v>53.1</v>
      </c>
      <c r="F7" s="2" t="s">
        <v>9</v>
      </c>
      <c r="G7" s="4">
        <f>MIN(B6:D8)</f>
        <v>49.7</v>
      </c>
      <c r="I7" s="2" t="s">
        <v>8</v>
      </c>
      <c r="J7" s="3"/>
      <c r="K7" s="3"/>
      <c r="L7" s="3"/>
      <c r="N7" s="2" t="s">
        <v>9</v>
      </c>
      <c r="O7" s="4">
        <f>MIN(J6:L8)</f>
        <v>802.8</v>
      </c>
    </row>
    <row r="8" spans="1:15" x14ac:dyDescent="0.2">
      <c r="A8" s="2" t="s">
        <v>10</v>
      </c>
      <c r="B8" s="3">
        <v>50</v>
      </c>
      <c r="C8" s="3">
        <v>50.5</v>
      </c>
      <c r="D8" s="3">
        <v>51.8</v>
      </c>
      <c r="F8" s="2" t="s">
        <v>11</v>
      </c>
      <c r="G8" s="4">
        <f>MAX(B6:D8)</f>
        <v>53.5</v>
      </c>
      <c r="I8" s="2" t="s">
        <v>10</v>
      </c>
      <c r="J8" s="3"/>
      <c r="K8" s="3"/>
      <c r="L8" s="3"/>
      <c r="N8" s="2" t="s">
        <v>11</v>
      </c>
      <c r="O8" s="4">
        <f>MAX(J6:L8)</f>
        <v>802.8</v>
      </c>
    </row>
    <row r="9" spans="1:15" x14ac:dyDescent="0.2">
      <c r="F9" s="2" t="s">
        <v>12</v>
      </c>
      <c r="G9" s="4">
        <f>G8-G7</f>
        <v>3.7999999999999972</v>
      </c>
      <c r="N9" s="2" t="s">
        <v>12</v>
      </c>
      <c r="O9" s="4">
        <f>O8-O7</f>
        <v>0</v>
      </c>
    </row>
    <row r="10" spans="1:15" x14ac:dyDescent="0.2">
      <c r="A10" s="5" t="s">
        <v>13</v>
      </c>
      <c r="F10" s="12" t="s">
        <v>67</v>
      </c>
      <c r="G10" s="13">
        <f>_xlfn.STDEV.S(B6:D8)</f>
        <v>1.5122646740714552</v>
      </c>
      <c r="N10" s="12" t="s">
        <v>66</v>
      </c>
      <c r="O10" s="13">
        <f>((MAX(J6:L8)-MIN(J6:L8))/(MAX(J6:L8)+MIN(J6:L8)))*100</f>
        <v>0</v>
      </c>
    </row>
    <row r="11" spans="1:15" x14ac:dyDescent="0.2">
      <c r="A11" s="6" t="s">
        <v>14</v>
      </c>
      <c r="C11" s="34" t="s">
        <v>156</v>
      </c>
      <c r="D11" s="35"/>
      <c r="E11" s="35"/>
      <c r="F11" s="35"/>
      <c r="G11" s="35"/>
    </row>
    <row r="12" spans="1:15" x14ac:dyDescent="0.2">
      <c r="A12" s="6" t="s">
        <v>16</v>
      </c>
      <c r="C12" s="34"/>
      <c r="D12" s="35"/>
      <c r="E12" s="35"/>
      <c r="F12" s="35"/>
      <c r="G12" s="35"/>
    </row>
    <row r="13" spans="1:15" x14ac:dyDescent="0.2">
      <c r="A13" s="6" t="s">
        <v>18</v>
      </c>
      <c r="C13" s="34"/>
      <c r="D13" s="35"/>
      <c r="E13" s="35"/>
      <c r="F13" s="35"/>
      <c r="G13" s="35"/>
    </row>
    <row r="14" spans="1:15" x14ac:dyDescent="0.2">
      <c r="A14" s="6" t="s">
        <v>19</v>
      </c>
      <c r="C14" s="34" t="s">
        <v>139</v>
      </c>
      <c r="D14" s="35"/>
      <c r="E14" s="35"/>
      <c r="F14" s="35"/>
      <c r="G14" s="35"/>
    </row>
  </sheetData>
  <mergeCells count="8">
    <mergeCell ref="C13:G13"/>
    <mergeCell ref="C14:G14"/>
    <mergeCell ref="A4:D4"/>
    <mergeCell ref="I4:L4"/>
    <mergeCell ref="F5:G5"/>
    <mergeCell ref="N5:O5"/>
    <mergeCell ref="C11:G11"/>
    <mergeCell ref="C12:G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65E4-9BFD-FB46-A8B9-35192A97AADA}">
  <dimension ref="A3:O16"/>
  <sheetViews>
    <sheetView workbookViewId="0">
      <selection activeCell="K36" sqref="K36"/>
    </sheetView>
  </sheetViews>
  <sheetFormatPr baseColWidth="10" defaultRowHeight="15" x14ac:dyDescent="0.2"/>
  <sheetData>
    <row r="3" spans="1:15" ht="19" x14ac:dyDescent="0.25">
      <c r="A3" s="33" t="s">
        <v>161</v>
      </c>
    </row>
    <row r="6" spans="1:15" x14ac:dyDescent="0.2">
      <c r="A6" s="36" t="s">
        <v>20</v>
      </c>
      <c r="B6" s="37"/>
      <c r="C6" s="37"/>
      <c r="D6" s="37"/>
      <c r="I6" s="36" t="s">
        <v>21</v>
      </c>
      <c r="J6" s="37"/>
      <c r="K6" s="37"/>
      <c r="L6" s="37"/>
    </row>
    <row r="7" spans="1:15" x14ac:dyDescent="0.2">
      <c r="A7" s="1" t="s">
        <v>1</v>
      </c>
      <c r="B7" s="1" t="s">
        <v>2</v>
      </c>
      <c r="C7" s="1" t="s">
        <v>3</v>
      </c>
      <c r="D7" s="1" t="s">
        <v>4</v>
      </c>
      <c r="F7" s="38" t="s">
        <v>5</v>
      </c>
      <c r="G7" s="37"/>
      <c r="I7" s="1" t="s">
        <v>1</v>
      </c>
      <c r="J7" s="1" t="s">
        <v>2</v>
      </c>
      <c r="K7" s="1" t="s">
        <v>3</v>
      </c>
      <c r="L7" s="1" t="s">
        <v>4</v>
      </c>
      <c r="N7" s="38" t="s">
        <v>5</v>
      </c>
      <c r="O7" s="37"/>
    </row>
    <row r="8" spans="1:15" x14ac:dyDescent="0.2">
      <c r="A8" s="2" t="s">
        <v>6</v>
      </c>
      <c r="B8" s="3">
        <v>45.9</v>
      </c>
      <c r="C8" s="3">
        <v>50.9</v>
      </c>
      <c r="D8" s="3">
        <v>50</v>
      </c>
      <c r="F8" s="2" t="s">
        <v>7</v>
      </c>
      <c r="G8" s="4">
        <f>AVERAGE(B8:D10)</f>
        <v>50.966666666666669</v>
      </c>
      <c r="I8" s="2" t="s">
        <v>6</v>
      </c>
      <c r="J8" s="3">
        <v>642.70000000000005</v>
      </c>
      <c r="K8" s="3">
        <v>757</v>
      </c>
      <c r="L8" s="3">
        <v>662.7</v>
      </c>
      <c r="N8" s="2" t="s">
        <v>7</v>
      </c>
      <c r="O8" s="4">
        <f>AVERAGE(J8:L10)</f>
        <v>737.35555555555561</v>
      </c>
    </row>
    <row r="9" spans="1:15" x14ac:dyDescent="0.2">
      <c r="A9" s="2" t="s">
        <v>8</v>
      </c>
      <c r="B9" s="3">
        <v>50.3</v>
      </c>
      <c r="C9" s="3">
        <v>54.1</v>
      </c>
      <c r="D9" s="3">
        <v>52.6</v>
      </c>
      <c r="F9" s="2" t="s">
        <v>9</v>
      </c>
      <c r="G9" s="4">
        <f>MIN(B8:D10)</f>
        <v>45.9</v>
      </c>
      <c r="I9" s="2" t="s">
        <v>8</v>
      </c>
      <c r="J9" s="3">
        <v>714.7</v>
      </c>
      <c r="K9" s="3">
        <v>858.1</v>
      </c>
      <c r="L9" s="3">
        <v>776.2</v>
      </c>
      <c r="N9" s="2" t="s">
        <v>9</v>
      </c>
      <c r="O9" s="4">
        <f>MIN(J8:L10)</f>
        <v>642.70000000000005</v>
      </c>
    </row>
    <row r="10" spans="1:15" x14ac:dyDescent="0.2">
      <c r="A10" s="2" t="s">
        <v>10</v>
      </c>
      <c r="B10" s="3">
        <v>48.7</v>
      </c>
      <c r="C10" s="3">
        <v>53.7</v>
      </c>
      <c r="D10" s="3">
        <v>52.5</v>
      </c>
      <c r="F10" s="2" t="s">
        <v>11</v>
      </c>
      <c r="G10" s="4">
        <f>MAX(B8:D10)</f>
        <v>54.1</v>
      </c>
      <c r="I10" s="2" t="s">
        <v>10</v>
      </c>
      <c r="J10" s="3">
        <v>687</v>
      </c>
      <c r="K10" s="3">
        <v>807.2</v>
      </c>
      <c r="L10" s="3">
        <v>730.6</v>
      </c>
      <c r="N10" s="2" t="s">
        <v>11</v>
      </c>
      <c r="O10" s="4">
        <f>MAX(J8:L10)</f>
        <v>858.1</v>
      </c>
    </row>
    <row r="11" spans="1:15" x14ac:dyDescent="0.2">
      <c r="F11" s="2" t="s">
        <v>12</v>
      </c>
      <c r="G11" s="4">
        <f>G10-G9</f>
        <v>8.2000000000000028</v>
      </c>
      <c r="N11" s="2" t="s">
        <v>12</v>
      </c>
      <c r="O11" s="4">
        <f>O10-O9</f>
        <v>215.39999999999998</v>
      </c>
    </row>
    <row r="12" spans="1:15" x14ac:dyDescent="0.2">
      <c r="A12" s="5" t="s">
        <v>13</v>
      </c>
      <c r="F12" s="12" t="s">
        <v>67</v>
      </c>
      <c r="G12" s="13">
        <f>_xlfn.STDEV.S(B8:D10)</f>
        <v>2.6100766272276381</v>
      </c>
      <c r="N12" s="12" t="s">
        <v>66</v>
      </c>
      <c r="O12" s="13">
        <f>((MAX(J8:L10)-MIN(J8:L10))/(MAX(J8:L10)+MIN(J8:L10)))*100</f>
        <v>14.352345415778247</v>
      </c>
    </row>
    <row r="13" spans="1:15" x14ac:dyDescent="0.2">
      <c r="A13" s="6" t="s">
        <v>14</v>
      </c>
      <c r="C13" s="34" t="s">
        <v>157</v>
      </c>
      <c r="D13" s="35"/>
      <c r="E13" s="35"/>
      <c r="F13" s="35"/>
      <c r="G13" s="35"/>
    </row>
    <row r="14" spans="1:15" x14ac:dyDescent="0.2">
      <c r="A14" s="6" t="s">
        <v>16</v>
      </c>
      <c r="C14" s="34" t="s">
        <v>158</v>
      </c>
      <c r="D14" s="35"/>
      <c r="E14" s="35"/>
      <c r="F14" s="35"/>
      <c r="G14" s="35"/>
    </row>
    <row r="15" spans="1:15" x14ac:dyDescent="0.2">
      <c r="A15" s="6" t="s">
        <v>18</v>
      </c>
      <c r="C15" s="34" t="s">
        <v>159</v>
      </c>
      <c r="D15" s="35"/>
      <c r="E15" s="35"/>
      <c r="F15" s="35"/>
      <c r="G15" s="35"/>
    </row>
    <row r="16" spans="1:15" x14ac:dyDescent="0.2">
      <c r="A16" s="6" t="s">
        <v>19</v>
      </c>
      <c r="C16" s="34" t="s">
        <v>139</v>
      </c>
      <c r="D16" s="35"/>
      <c r="E16" s="35"/>
      <c r="F16" s="35"/>
      <c r="G16" s="35"/>
    </row>
  </sheetData>
  <mergeCells count="8">
    <mergeCell ref="C15:G15"/>
    <mergeCell ref="C16:G16"/>
    <mergeCell ref="A6:D6"/>
    <mergeCell ref="I6:L6"/>
    <mergeCell ref="F7:G7"/>
    <mergeCell ref="N7:O7"/>
    <mergeCell ref="C13:G13"/>
    <mergeCell ref="C14:G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5F4B-D44E-6643-83EF-1D1EC990023C}">
  <dimension ref="A2:O31"/>
  <sheetViews>
    <sheetView workbookViewId="0">
      <selection activeCell="J34" sqref="J34"/>
    </sheetView>
  </sheetViews>
  <sheetFormatPr baseColWidth="10" defaultRowHeight="15" x14ac:dyDescent="0.2"/>
  <sheetData>
    <row r="2" spans="1:15" ht="21" x14ac:dyDescent="0.25">
      <c r="A2" s="31" t="s">
        <v>160</v>
      </c>
    </row>
    <row r="4" spans="1:15" ht="12" customHeight="1" x14ac:dyDescent="0.2"/>
    <row r="6" spans="1:15" x14ac:dyDescent="0.2">
      <c r="A6" s="36" t="s">
        <v>20</v>
      </c>
      <c r="B6" s="37"/>
      <c r="C6" s="37"/>
      <c r="D6" s="37"/>
      <c r="I6" s="36" t="s">
        <v>21</v>
      </c>
      <c r="J6" s="37"/>
      <c r="K6" s="37"/>
      <c r="L6" s="37"/>
    </row>
    <row r="7" spans="1:15" x14ac:dyDescent="0.2">
      <c r="A7" s="1" t="s">
        <v>1</v>
      </c>
      <c r="B7" s="1" t="s">
        <v>2</v>
      </c>
      <c r="C7" s="1" t="s">
        <v>3</v>
      </c>
      <c r="D7" s="1" t="s">
        <v>4</v>
      </c>
      <c r="F7" s="38" t="s">
        <v>5</v>
      </c>
      <c r="G7" s="37"/>
      <c r="I7" s="1" t="s">
        <v>1</v>
      </c>
      <c r="J7" s="1" t="s">
        <v>2</v>
      </c>
      <c r="K7" s="1" t="s">
        <v>3</v>
      </c>
      <c r="L7" s="1" t="s">
        <v>4</v>
      </c>
      <c r="N7" s="38" t="s">
        <v>5</v>
      </c>
      <c r="O7" s="37"/>
    </row>
    <row r="8" spans="1:15" x14ac:dyDescent="0.2">
      <c r="A8" s="2" t="s">
        <v>6</v>
      </c>
      <c r="B8" s="3">
        <v>49.8</v>
      </c>
      <c r="C8" s="3">
        <v>51.3</v>
      </c>
      <c r="D8" s="3">
        <v>50.2</v>
      </c>
      <c r="F8" s="2" t="s">
        <v>7</v>
      </c>
      <c r="G8" s="4">
        <f>AVERAGE(B8:D10)</f>
        <v>51.444444444444443</v>
      </c>
      <c r="I8" s="2" t="s">
        <v>6</v>
      </c>
      <c r="J8" s="3">
        <v>650.6</v>
      </c>
      <c r="K8" s="3">
        <v>804.6</v>
      </c>
      <c r="L8" s="3">
        <v>694.4</v>
      </c>
      <c r="N8" s="2" t="s">
        <v>7</v>
      </c>
      <c r="O8" s="4">
        <f>AVERAGE(J8:L10)</f>
        <v>774.52222222222224</v>
      </c>
    </row>
    <row r="9" spans="1:15" x14ac:dyDescent="0.2">
      <c r="A9" s="2" t="s">
        <v>8</v>
      </c>
      <c r="B9" s="3">
        <v>51.2</v>
      </c>
      <c r="C9" s="3">
        <v>54.3</v>
      </c>
      <c r="D9" s="3">
        <v>52.5</v>
      </c>
      <c r="F9" s="2" t="s">
        <v>9</v>
      </c>
      <c r="G9" s="4">
        <f>MIN(B8:D10)</f>
        <v>48.2</v>
      </c>
      <c r="I9" s="2" t="s">
        <v>8</v>
      </c>
      <c r="J9" s="3">
        <v>743.8</v>
      </c>
      <c r="K9" s="3">
        <v>909.2</v>
      </c>
      <c r="L9" s="3">
        <v>826.6</v>
      </c>
      <c r="N9" s="2" t="s">
        <v>9</v>
      </c>
      <c r="O9" s="4">
        <f>MIN(J8:L10)</f>
        <v>650.6</v>
      </c>
    </row>
    <row r="10" spans="1:15" x14ac:dyDescent="0.2">
      <c r="A10" s="2" t="s">
        <v>10</v>
      </c>
      <c r="B10" s="3">
        <v>48.2</v>
      </c>
      <c r="C10" s="3">
        <v>52</v>
      </c>
      <c r="D10" s="3">
        <v>53.5</v>
      </c>
      <c r="F10" s="2" t="s">
        <v>11</v>
      </c>
      <c r="G10" s="4">
        <f>MAX(B8:D10)</f>
        <v>54.3</v>
      </c>
      <c r="I10" s="2" t="s">
        <v>10</v>
      </c>
      <c r="J10" s="3">
        <v>708.3</v>
      </c>
      <c r="K10" s="3">
        <v>831.9</v>
      </c>
      <c r="L10" s="3">
        <v>801.3</v>
      </c>
      <c r="N10" s="2" t="s">
        <v>11</v>
      </c>
      <c r="O10" s="4">
        <f>MAX(J8:L10)</f>
        <v>909.2</v>
      </c>
    </row>
    <row r="11" spans="1:15" x14ac:dyDescent="0.2">
      <c r="F11" s="2" t="s">
        <v>12</v>
      </c>
      <c r="G11" s="4">
        <f>G10-G9</f>
        <v>6.0999999999999943</v>
      </c>
      <c r="N11" s="2" t="s">
        <v>12</v>
      </c>
      <c r="O11" s="4">
        <f>O10-O9</f>
        <v>258.60000000000002</v>
      </c>
    </row>
    <row r="12" spans="1:15" x14ac:dyDescent="0.2">
      <c r="A12" s="5" t="s">
        <v>13</v>
      </c>
      <c r="F12" s="12" t="s">
        <v>67</v>
      </c>
      <c r="G12" s="13">
        <f>_xlfn.STDEV.S(B8:D10)</f>
        <v>1.8928227010942607</v>
      </c>
      <c r="N12" s="12" t="s">
        <v>66</v>
      </c>
      <c r="O12" s="13">
        <f>((MAX(J8:L10)-MIN(J8:L10))/(MAX(J8:L10)+MIN(J8:L10)))*100</f>
        <v>16.579048595973841</v>
      </c>
    </row>
    <row r="13" spans="1:15" x14ac:dyDescent="0.2">
      <c r="A13" s="6" t="s">
        <v>14</v>
      </c>
      <c r="C13" s="34" t="s">
        <v>157</v>
      </c>
      <c r="D13" s="35"/>
      <c r="E13" s="35"/>
      <c r="F13" s="35"/>
      <c r="G13" s="35"/>
    </row>
    <row r="14" spans="1:15" x14ac:dyDescent="0.2">
      <c r="A14" s="6" t="s">
        <v>16</v>
      </c>
      <c r="C14" s="34" t="s">
        <v>158</v>
      </c>
      <c r="D14" s="35"/>
      <c r="E14" s="35"/>
      <c r="F14" s="35"/>
      <c r="G14" s="35"/>
    </row>
    <row r="15" spans="1:15" x14ac:dyDescent="0.2">
      <c r="A15" s="6" t="s">
        <v>18</v>
      </c>
      <c r="C15" s="34" t="s">
        <v>159</v>
      </c>
      <c r="D15" s="35"/>
      <c r="E15" s="35"/>
      <c r="F15" s="35"/>
      <c r="G15" s="35"/>
    </row>
    <row r="16" spans="1:15" x14ac:dyDescent="0.2">
      <c r="A16" s="6" t="s">
        <v>19</v>
      </c>
      <c r="C16" s="34" t="s">
        <v>139</v>
      </c>
      <c r="D16" s="35"/>
      <c r="E16" s="35"/>
      <c r="F16" s="35"/>
      <c r="G16" s="35"/>
    </row>
    <row r="19" spans="1:15" ht="21" x14ac:dyDescent="0.25">
      <c r="A19" s="31" t="s">
        <v>163</v>
      </c>
    </row>
    <row r="21" spans="1:15" x14ac:dyDescent="0.2">
      <c r="A21" s="36" t="s">
        <v>20</v>
      </c>
      <c r="B21" s="37"/>
      <c r="C21" s="37"/>
      <c r="D21" s="37"/>
      <c r="I21" s="36" t="s">
        <v>21</v>
      </c>
      <c r="J21" s="37"/>
      <c r="K21" s="37"/>
      <c r="L21" s="37"/>
    </row>
    <row r="22" spans="1:15" x14ac:dyDescent="0.2">
      <c r="A22" s="1" t="s">
        <v>1</v>
      </c>
      <c r="B22" s="1" t="s">
        <v>2</v>
      </c>
      <c r="C22" s="1" t="s">
        <v>3</v>
      </c>
      <c r="D22" s="1" t="s">
        <v>4</v>
      </c>
      <c r="F22" s="38" t="s">
        <v>5</v>
      </c>
      <c r="G22" s="37"/>
      <c r="I22" s="1" t="s">
        <v>1</v>
      </c>
      <c r="J22" s="1" t="s">
        <v>2</v>
      </c>
      <c r="K22" s="1" t="s">
        <v>3</v>
      </c>
      <c r="L22" s="1" t="s">
        <v>4</v>
      </c>
      <c r="N22" s="38" t="s">
        <v>5</v>
      </c>
      <c r="O22" s="37"/>
    </row>
    <row r="23" spans="1:15" x14ac:dyDescent="0.2">
      <c r="A23" s="2" t="s">
        <v>6</v>
      </c>
      <c r="B23" s="3">
        <v>48.6</v>
      </c>
      <c r="C23" s="3">
        <v>50.5</v>
      </c>
      <c r="D23" s="3">
        <v>48.3</v>
      </c>
      <c r="F23" s="2" t="s">
        <v>7</v>
      </c>
      <c r="G23" s="4">
        <f>AVERAGE(B23:D25)</f>
        <v>50.9</v>
      </c>
      <c r="I23" s="2" t="s">
        <v>6</v>
      </c>
      <c r="J23" s="3">
        <v>653.29999999999995</v>
      </c>
      <c r="K23" s="3">
        <v>787.4</v>
      </c>
      <c r="L23" s="3">
        <v>709</v>
      </c>
      <c r="N23" s="2" t="s">
        <v>7</v>
      </c>
      <c r="O23" s="4">
        <f>AVERAGE(J23:L25)</f>
        <v>754.97777777777765</v>
      </c>
    </row>
    <row r="24" spans="1:15" x14ac:dyDescent="0.2">
      <c r="A24" s="2" t="s">
        <v>8</v>
      </c>
      <c r="B24" s="3">
        <v>51.6</v>
      </c>
      <c r="C24" s="3">
        <v>53.5</v>
      </c>
      <c r="D24" s="3">
        <v>51.3</v>
      </c>
      <c r="F24" s="2" t="s">
        <v>9</v>
      </c>
      <c r="G24" s="4">
        <f>MIN(B23:D25)</f>
        <v>48.3</v>
      </c>
      <c r="I24" s="2" t="s">
        <v>8</v>
      </c>
      <c r="J24" s="3">
        <v>731.9</v>
      </c>
      <c r="K24" s="3">
        <v>875.3</v>
      </c>
      <c r="L24" s="3">
        <v>802.2</v>
      </c>
      <c r="N24" s="2" t="s">
        <v>9</v>
      </c>
      <c r="O24" s="4">
        <f>MIN(J23:L25)</f>
        <v>653.29999999999995</v>
      </c>
    </row>
    <row r="25" spans="1:15" x14ac:dyDescent="0.2">
      <c r="A25" s="2" t="s">
        <v>10</v>
      </c>
      <c r="B25" s="3">
        <v>49.5</v>
      </c>
      <c r="C25" s="3">
        <v>52.3</v>
      </c>
      <c r="D25" s="3">
        <v>52.5</v>
      </c>
      <c r="F25" s="2" t="s">
        <v>11</v>
      </c>
      <c r="G25" s="4">
        <f>MAX(B23:D25)</f>
        <v>53.5</v>
      </c>
      <c r="I25" s="2" t="s">
        <v>10</v>
      </c>
      <c r="J25" s="3">
        <v>668.7</v>
      </c>
      <c r="K25" s="3">
        <v>798.8</v>
      </c>
      <c r="L25" s="3">
        <v>768.2</v>
      </c>
      <c r="N25" s="2" t="s">
        <v>11</v>
      </c>
      <c r="O25" s="4">
        <f>MAX(J23:L25)</f>
        <v>875.3</v>
      </c>
    </row>
    <row r="26" spans="1:15" x14ac:dyDescent="0.2">
      <c r="F26" s="2" t="s">
        <v>12</v>
      </c>
      <c r="G26" s="4">
        <f>G25-G24</f>
        <v>5.2000000000000028</v>
      </c>
      <c r="N26" s="2" t="s">
        <v>12</v>
      </c>
      <c r="O26" s="4">
        <f>O25-O24</f>
        <v>222</v>
      </c>
    </row>
    <row r="27" spans="1:15" x14ac:dyDescent="0.2">
      <c r="A27" s="5" t="s">
        <v>13</v>
      </c>
      <c r="F27" s="12" t="s">
        <v>67</v>
      </c>
      <c r="G27" s="13">
        <f>_xlfn.STDEV.S(B23:D25)</f>
        <v>1.8062391868188445</v>
      </c>
      <c r="N27" s="12" t="s">
        <v>66</v>
      </c>
      <c r="O27" s="13">
        <f>((MAX(J23:L25)-MIN(J23:L25))/(MAX(J23:L25)+MIN(J23:L25)))*100</f>
        <v>14.523093026298575</v>
      </c>
    </row>
    <row r="28" spans="1:15" x14ac:dyDescent="0.2">
      <c r="A28" s="6" t="s">
        <v>14</v>
      </c>
      <c r="C28" s="34" t="s">
        <v>157</v>
      </c>
      <c r="D28" s="35"/>
      <c r="E28" s="35"/>
      <c r="F28" s="35"/>
      <c r="G28" s="35"/>
    </row>
    <row r="29" spans="1:15" x14ac:dyDescent="0.2">
      <c r="A29" s="6" t="s">
        <v>16</v>
      </c>
      <c r="C29" s="34" t="s">
        <v>158</v>
      </c>
      <c r="D29" s="35"/>
      <c r="E29" s="35"/>
      <c r="F29" s="35"/>
      <c r="G29" s="35"/>
    </row>
    <row r="30" spans="1:15" x14ac:dyDescent="0.2">
      <c r="A30" s="6" t="s">
        <v>18</v>
      </c>
      <c r="C30" s="34" t="s">
        <v>159</v>
      </c>
      <c r="D30" s="35"/>
      <c r="E30" s="35"/>
      <c r="F30" s="35"/>
      <c r="G30" s="35"/>
    </row>
    <row r="31" spans="1:15" x14ac:dyDescent="0.2">
      <c r="A31" s="6" t="s">
        <v>19</v>
      </c>
      <c r="C31" s="34" t="s">
        <v>162</v>
      </c>
      <c r="D31" s="35"/>
      <c r="E31" s="35"/>
      <c r="F31" s="35"/>
      <c r="G31" s="35"/>
    </row>
  </sheetData>
  <mergeCells count="16">
    <mergeCell ref="C28:G28"/>
    <mergeCell ref="C29:G29"/>
    <mergeCell ref="C30:G30"/>
    <mergeCell ref="C31:G31"/>
    <mergeCell ref="C15:G15"/>
    <mergeCell ref="C16:G16"/>
    <mergeCell ref="A21:D21"/>
    <mergeCell ref="I21:L21"/>
    <mergeCell ref="F22:G22"/>
    <mergeCell ref="N22:O22"/>
    <mergeCell ref="A6:D6"/>
    <mergeCell ref="I6:L6"/>
    <mergeCell ref="F7:G7"/>
    <mergeCell ref="N7:O7"/>
    <mergeCell ref="C13:G13"/>
    <mergeCell ref="C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Lab Test Data Grids</vt:lpstr>
      <vt:lpstr>Master Raw Data Log</vt:lpstr>
      <vt:lpstr>Sheet1</vt:lpstr>
      <vt:lpstr>Env 01 Sep 2026</vt:lpstr>
      <vt:lpstr>Env 02 Sep 26</vt:lpstr>
      <vt:lpstr>Env 07 Sep 2026</vt:lpstr>
      <vt:lpstr>Env 17 Sep 2026</vt:lpstr>
      <vt:lpstr>Env 18 Sep 2026</vt:lpstr>
      <vt:lpstr>Env 22 Sep 2026 </vt:lpstr>
      <vt:lpstr>Env 23 Sep 2026 </vt:lpstr>
      <vt:lpstr>Env 25Sep 2026</vt:lpstr>
      <vt:lpstr>Env 28 Sep 2026</vt:lpstr>
      <vt:lpstr>Env 30 Sep</vt:lpstr>
      <vt:lpstr>Env 30 Sep </vt:lpstr>
      <vt:lpstr>Env 1 October </vt:lpstr>
      <vt:lpstr>Env 2Oct</vt:lpstr>
      <vt:lpstr>Env 05Oct</vt:lpstr>
      <vt:lpstr>Env 06Oct </vt:lpstr>
      <vt:lpstr>Env 07Oct </vt:lpstr>
      <vt:lpstr>Env 08Oct</vt:lpstr>
      <vt:lpstr>Env 09Oct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Pearl Mothiba</cp:lastModifiedBy>
  <dcterms:created xsi:type="dcterms:W3CDTF">2026-08-21T11:32:02Z</dcterms:created>
  <dcterms:modified xsi:type="dcterms:W3CDTF">2026-10-27T11:07:43Z</dcterms:modified>
</cp:coreProperties>
</file>