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13_ncr:1_{3CDF4B9A-B434-D345-B8BC-CB42156D5795}" xr6:coauthVersionLast="47" xr6:coauthVersionMax="47" xr10:uidLastSave="{00000000-0000-0000-0000-000000000000}"/>
  <bookViews>
    <workbookView xWindow="1760" yWindow="740" windowWidth="27640" windowHeight="16540" firstSheet="6" activeTab="7" xr2:uid="{904014E7-02BB-2B47-8023-3EC32E0F77CB}"/>
  </bookViews>
  <sheets>
    <sheet name="baseline 11h30" sheetId="1" r:id="rId1"/>
    <sheet name="baseline 12h00" sheetId="2" r:id="rId2"/>
    <sheet name="shading col1row1 with cardboard" sheetId="3" r:id="rId3"/>
    <sheet name="shading col1row1 with paper" sheetId="4" r:id="rId4"/>
    <sheet name="shading col2row1 with paper " sheetId="5" r:id="rId5"/>
    <sheet name="shading col3row1 with paper " sheetId="6" r:id="rId6"/>
    <sheet name="baseline 12h50" sheetId="7" r:id="rId7"/>
    <sheet name="bypass diode test" sheetId="8" r:id="rId8"/>
    <sheet name="shading 50% col1row1 with paper" sheetId="9" r:id="rId9"/>
    <sheet name="baseline 16h00" sheetId="10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44" i="7" l="1"/>
  <c r="N44" i="7"/>
  <c r="V42" i="7"/>
  <c r="N42" i="7"/>
  <c r="V41" i="7"/>
  <c r="N41" i="7"/>
  <c r="V40" i="7"/>
  <c r="N40" i="7"/>
  <c r="N44" i="3"/>
  <c r="N42" i="3"/>
  <c r="N41" i="3"/>
  <c r="N40" i="3"/>
  <c r="V44" i="2"/>
  <c r="N44" i="2"/>
  <c r="V42" i="2"/>
  <c r="N42" i="2"/>
  <c r="V41" i="2"/>
  <c r="N41" i="2"/>
  <c r="V40" i="2"/>
  <c r="N40" i="2"/>
  <c r="N43" i="7" l="1"/>
  <c r="V43" i="7"/>
  <c r="N43" i="3"/>
  <c r="N43" i="2"/>
  <c r="V4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<sst xmlns="http://schemas.openxmlformats.org/spreadsheetml/2006/main" count="210" uniqueCount="54">
  <si>
    <t>Resistance </t>
  </si>
  <si>
    <t>Voltage </t>
  </si>
  <si>
    <t>Current </t>
  </si>
  <si>
    <t>open</t>
  </si>
  <si>
    <t>20260819-E02 – Temperature Grid (°C)</t>
  </si>
  <si>
    <t>20260819-E02 – Irradiance Grid (W/m²)</t>
  </si>
  <si>
    <t>Position</t>
  </si>
  <si>
    <t>Left</t>
  </si>
  <si>
    <t>Centre</t>
  </si>
  <si>
    <t>Right</t>
  </si>
  <si>
    <t>Metric</t>
  </si>
  <si>
    <t>Top</t>
  </si>
  <si>
    <t>Average</t>
  </si>
  <si>
    <t>Middle</t>
  </si>
  <si>
    <t>Minimum</t>
  </si>
  <si>
    <t>Bottom</t>
  </si>
  <si>
    <t>Maximum</t>
  </si>
  <si>
    <t>Range</t>
  </si>
  <si>
    <t>ENVIRONMENTAL &amp; TEST CONDITIONS:</t>
  </si>
  <si>
    <t>Std</t>
  </si>
  <si>
    <t>Uniform(%)</t>
  </si>
  <si>
    <t>Lamp Distance (cm):</t>
  </si>
  <si>
    <t xml:space="preserve">outside </t>
  </si>
  <si>
    <t>Fan Condition:</t>
  </si>
  <si>
    <t>Window Condition:</t>
  </si>
  <si>
    <t>Test Purpose / Notes:</t>
  </si>
  <si>
    <t>baseline</t>
  </si>
  <si>
    <t xml:space="preserve"> </t>
  </si>
  <si>
    <t xml:space="preserve">                                                                                                 </t>
  </si>
  <si>
    <t xml:space="preserve">Panel sunlight-checking which diodes are health </t>
  </si>
  <si>
    <t>diode A</t>
  </si>
  <si>
    <t>diode b</t>
  </si>
  <si>
    <t xml:space="preserve">didoe c </t>
  </si>
  <si>
    <t xml:space="preserve">didoe d </t>
  </si>
  <si>
    <t>red/black</t>
  </si>
  <si>
    <t>black/red</t>
  </si>
  <si>
    <t>OL</t>
  </si>
  <si>
    <t>Shading Voltage Mapping Test</t>
  </si>
  <si>
    <t xml:space="preserve">                        </t>
  </si>
  <si>
    <t xml:space="preserve">left-center </t>
  </si>
  <si>
    <t>shading left column</t>
  </si>
  <si>
    <t xml:space="preserve">shading right column </t>
  </si>
  <si>
    <t>centre-right</t>
  </si>
  <si>
    <t>left-right</t>
  </si>
  <si>
    <t xml:space="preserve">floating </t>
  </si>
  <si>
    <t xml:space="preserve">Panel under illumination with no shading </t>
  </si>
  <si>
    <t>center-right</t>
  </si>
  <si>
    <t xml:space="preserve">left-right </t>
  </si>
  <si>
    <t xml:space="preserve">Panel under illuination with no shading continuity test </t>
  </si>
  <si>
    <t xml:space="preserve">no beep </t>
  </si>
  <si>
    <t xml:space="preserve">beep </t>
  </si>
  <si>
    <t>20.55V</t>
  </si>
  <si>
    <t>21.42V</t>
  </si>
  <si>
    <t>22.32V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</si>
</sst>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theme="1"/>
      <name val="Aptos Narrow"/>
      <family val="2"/>
      <scheme val="minor"/>
    </font>
    <font>
      <sz val="16"/>
      <color rgb="FF000000"/>
      <name val="Helvetica Neue"/>
      <family val="2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 (Body)"/>
    </font>
    <font>
      <b/>
      <sz val="14"/>
      <color rgb="FF000000"/>
      <name val="Helvetica Neue"/>
      <family val="2"/>
    </font>
    <font>
      <b/>
      <sz val="14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48A"/>
        <bgColor rgb="FF2B548A"/>
      </patternFill>
    </fill>
    <fill>
      <patternFill patternType="solid">
        <fgColor rgb="FFFFF9E6"/>
        <bgColor rgb="FFFFF9E6"/>
      </patternFill>
    </fill>
  </fills>
  <borders count="11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1B365D"/>
      </left>
      <right/>
      <top style="thin">
        <color rgb="FF1B365D"/>
      </top>
      <bottom style="thin">
        <color rgb="FF1B365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1B365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0" fillId="0" borderId="2" xfId="0" applyNumberForma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0" xfId="0" applyFont="1"/>
    <xf numFmtId="0" fontId="5" fillId="0" borderId="0" xfId="0" applyFont="1"/>
    <xf numFmtId="164" fontId="0" fillId="0" borderId="0" xfId="0" applyNumberFormat="1"/>
    <xf numFmtId="0" fontId="3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2" borderId="3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right" vertical="center"/>
    </xf>
    <xf numFmtId="164" fontId="4" fillId="0" borderId="5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0" fontId="9" fillId="0" borderId="0" xfId="0" applyFont="1"/>
    <xf numFmtId="164" fontId="8" fillId="0" borderId="0" xfId="0" applyNumberFormat="1" applyFont="1"/>
    <xf numFmtId="0" fontId="10" fillId="0" borderId="0" xfId="0" applyFont="1"/>
    <xf numFmtId="0" fontId="2" fillId="2" borderId="0" xfId="0" applyFont="1" applyFill="1" applyAlignment="1">
      <alignment horizontal="left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0" fillId="0" borderId="2" xfId="0" applyBorder="1"/>
    <xf numFmtId="0" fontId="2" fillId="2" borderId="10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0" fontId="4" fillId="4" borderId="9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I-V</a:t>
            </a:r>
            <a:r>
              <a:rPr lang="en-US" baseline="0"/>
              <a:t> Curve</a:t>
            </a:r>
            <a:r>
              <a:rPr lang="en-US"/>
              <a:t>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'baseline 11h30'!$C$1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'baseline 11h30'!$B$2:$B$33</c:f>
              <c:numCache>
                <c:formatCode>General</c:formatCode>
                <c:ptCount val="32"/>
                <c:pt idx="0">
                  <c:v>8.23</c:v>
                </c:pt>
                <c:pt idx="1">
                  <c:v>12.45</c:v>
                </c:pt>
                <c:pt idx="2">
                  <c:v>16.14</c:v>
                </c:pt>
                <c:pt idx="3">
                  <c:v>18.100000000000001</c:v>
                </c:pt>
                <c:pt idx="4">
                  <c:v>19.09</c:v>
                </c:pt>
                <c:pt idx="5">
                  <c:v>19.7</c:v>
                </c:pt>
                <c:pt idx="6">
                  <c:v>20.100000000000001</c:v>
                </c:pt>
                <c:pt idx="7">
                  <c:v>20.37</c:v>
                </c:pt>
                <c:pt idx="8">
                  <c:v>20.64</c:v>
                </c:pt>
                <c:pt idx="9">
                  <c:v>20.83</c:v>
                </c:pt>
                <c:pt idx="10">
                  <c:v>21</c:v>
                </c:pt>
                <c:pt idx="11">
                  <c:v>21.09</c:v>
                </c:pt>
                <c:pt idx="12">
                  <c:v>21.19</c:v>
                </c:pt>
                <c:pt idx="13">
                  <c:v>21.37</c:v>
                </c:pt>
                <c:pt idx="14">
                  <c:v>21.53</c:v>
                </c:pt>
                <c:pt idx="15">
                  <c:v>21.67</c:v>
                </c:pt>
                <c:pt idx="16">
                  <c:v>21.82</c:v>
                </c:pt>
                <c:pt idx="17">
                  <c:v>21.94</c:v>
                </c:pt>
                <c:pt idx="18">
                  <c:v>21.98</c:v>
                </c:pt>
                <c:pt idx="19">
                  <c:v>22.03</c:v>
                </c:pt>
                <c:pt idx="20">
                  <c:v>22.12</c:v>
                </c:pt>
                <c:pt idx="21">
                  <c:v>22.2</c:v>
                </c:pt>
                <c:pt idx="22">
                  <c:v>22.23</c:v>
                </c:pt>
                <c:pt idx="23">
                  <c:v>22.32</c:v>
                </c:pt>
                <c:pt idx="24">
                  <c:v>22.37</c:v>
                </c:pt>
                <c:pt idx="25">
                  <c:v>22.37</c:v>
                </c:pt>
                <c:pt idx="26">
                  <c:v>22.36</c:v>
                </c:pt>
                <c:pt idx="27">
                  <c:v>22.31</c:v>
                </c:pt>
                <c:pt idx="28">
                  <c:v>22.46</c:v>
                </c:pt>
                <c:pt idx="29">
                  <c:v>22.39</c:v>
                </c:pt>
                <c:pt idx="30">
                  <c:v>22.51</c:v>
                </c:pt>
                <c:pt idx="31">
                  <c:v>22.7</c:v>
                </c:pt>
              </c:numCache>
            </c:numRef>
          </c:xVal>
          <c:yVal>
            <c:numRef>
              <c:f>'baseline 11h30'!$C$2:$C$33</c:f>
              <c:numCache>
                <c:formatCode>General</c:formatCode>
                <c:ptCount val="32"/>
                <c:pt idx="0">
                  <c:v>4.1399999999999997</c:v>
                </c:pt>
                <c:pt idx="1">
                  <c:v>4.13</c:v>
                </c:pt>
                <c:pt idx="2">
                  <c:v>4.03</c:v>
                </c:pt>
                <c:pt idx="3">
                  <c:v>3.62</c:v>
                </c:pt>
                <c:pt idx="4">
                  <c:v>3.18</c:v>
                </c:pt>
                <c:pt idx="5">
                  <c:v>2.82</c:v>
                </c:pt>
                <c:pt idx="6">
                  <c:v>2.5099999999999998</c:v>
                </c:pt>
                <c:pt idx="7">
                  <c:v>2.2599999999999998</c:v>
                </c:pt>
                <c:pt idx="8">
                  <c:v>2.0699999999999998</c:v>
                </c:pt>
                <c:pt idx="9">
                  <c:v>1.9</c:v>
                </c:pt>
                <c:pt idx="10">
                  <c:v>1.75</c:v>
                </c:pt>
                <c:pt idx="11">
                  <c:v>1.62</c:v>
                </c:pt>
                <c:pt idx="12">
                  <c:v>1.52</c:v>
                </c:pt>
                <c:pt idx="13">
                  <c:v>1.34</c:v>
                </c:pt>
                <c:pt idx="14">
                  <c:v>1.2</c:v>
                </c:pt>
                <c:pt idx="15">
                  <c:v>1.08</c:v>
                </c:pt>
                <c:pt idx="16">
                  <c:v>0.91</c:v>
                </c:pt>
                <c:pt idx="17">
                  <c:v>0.78</c:v>
                </c:pt>
                <c:pt idx="18">
                  <c:v>0.67</c:v>
                </c:pt>
                <c:pt idx="19">
                  <c:v>0.55000000000000004</c:v>
                </c:pt>
                <c:pt idx="20">
                  <c:v>0.49</c:v>
                </c:pt>
                <c:pt idx="21">
                  <c:v>0.44</c:v>
                </c:pt>
                <c:pt idx="22">
                  <c:v>0.4</c:v>
                </c:pt>
                <c:pt idx="23">
                  <c:v>0.37</c:v>
                </c:pt>
                <c:pt idx="24">
                  <c:v>0.32</c:v>
                </c:pt>
                <c:pt idx="25">
                  <c:v>0.22</c:v>
                </c:pt>
                <c:pt idx="26">
                  <c:v>0.2</c:v>
                </c:pt>
                <c:pt idx="27">
                  <c:v>0.14000000000000001</c:v>
                </c:pt>
                <c:pt idx="28">
                  <c:v>0.11</c:v>
                </c:pt>
                <c:pt idx="29">
                  <c:v>7.0000000000000007E-2</c:v>
                </c:pt>
                <c:pt idx="30">
                  <c:v>0.06</c:v>
                </c:pt>
                <c:pt idx="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3A-8E49-9A00-AF5667E69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808239"/>
        <c:axId val="1939090015"/>
      </c:scatterChart>
      <c:valAx>
        <c:axId val="193980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090015"/>
        <c:crosses val="autoZero"/>
        <c:crossBetween val="midCat"/>
      </c:valAx>
      <c:valAx>
        <c:axId val="19390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808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IV</a:t>
            </a:r>
            <a:r>
              <a:rPr lang="en-US" baseline="0"/>
              <a:t> CURVE </a:t>
            </a:r>
            <a:r>
              <a:rPr lang="en-US"/>
              <a:t> </a:t>
            </a:r>
          </a:p>
        </c:rich>
      </c:tx>
      <c:layout>
        <c:manualLayout>
          <c:xMode val="edge"/>
          <c:yMode val="edge"/>
          <c:x val="0.43175678040244964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76159230096239"/>
          <c:y val="0.29208333333333336"/>
          <c:w val="0.82490507436570426"/>
          <c:h val="0.623086541265675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'baseline 12h00'!$C$1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'baseline 12h00'!$B$2:$B$31</c:f>
              <c:numCache>
                <c:formatCode>General</c:formatCode>
                <c:ptCount val="30"/>
                <c:pt idx="0">
                  <c:v>9.24</c:v>
                </c:pt>
                <c:pt idx="1">
                  <c:v>11.52</c:v>
                </c:pt>
                <c:pt idx="2">
                  <c:v>13.8</c:v>
                </c:pt>
                <c:pt idx="3">
                  <c:v>15.6</c:v>
                </c:pt>
                <c:pt idx="4">
                  <c:v>16.920000000000002</c:v>
                </c:pt>
                <c:pt idx="5">
                  <c:v>17.79</c:v>
                </c:pt>
                <c:pt idx="6">
                  <c:v>18.41</c:v>
                </c:pt>
                <c:pt idx="7">
                  <c:v>18.86</c:v>
                </c:pt>
                <c:pt idx="8">
                  <c:v>19.2</c:v>
                </c:pt>
                <c:pt idx="9">
                  <c:v>19.48</c:v>
                </c:pt>
                <c:pt idx="10">
                  <c:v>19.72</c:v>
                </c:pt>
                <c:pt idx="11">
                  <c:v>20.09</c:v>
                </c:pt>
                <c:pt idx="12">
                  <c:v>20.239999999999998</c:v>
                </c:pt>
                <c:pt idx="13">
                  <c:v>20.39</c:v>
                </c:pt>
                <c:pt idx="14">
                  <c:v>20.51</c:v>
                </c:pt>
                <c:pt idx="15">
                  <c:v>20.62</c:v>
                </c:pt>
                <c:pt idx="16">
                  <c:v>20.8</c:v>
                </c:pt>
                <c:pt idx="17">
                  <c:v>20.95</c:v>
                </c:pt>
                <c:pt idx="18">
                  <c:v>21.07</c:v>
                </c:pt>
                <c:pt idx="19">
                  <c:v>21.57</c:v>
                </c:pt>
                <c:pt idx="20">
                  <c:v>21.87</c:v>
                </c:pt>
                <c:pt idx="21">
                  <c:v>22.01</c:v>
                </c:pt>
                <c:pt idx="22">
                  <c:v>22.1</c:v>
                </c:pt>
                <c:pt idx="23">
                  <c:v>22.17</c:v>
                </c:pt>
                <c:pt idx="24">
                  <c:v>22.2</c:v>
                </c:pt>
                <c:pt idx="25">
                  <c:v>22.28</c:v>
                </c:pt>
                <c:pt idx="26">
                  <c:v>22.38</c:v>
                </c:pt>
                <c:pt idx="27">
                  <c:v>22.39</c:v>
                </c:pt>
                <c:pt idx="28">
                  <c:v>22.4</c:v>
                </c:pt>
                <c:pt idx="29">
                  <c:v>22.45</c:v>
                </c:pt>
              </c:numCache>
            </c:numRef>
          </c:xVal>
          <c:yVal>
            <c:numRef>
              <c:f>'baseline 12h00'!$C$2:$C$31</c:f>
              <c:numCache>
                <c:formatCode>General</c:formatCode>
                <c:ptCount val="30"/>
                <c:pt idx="0">
                  <c:v>4.59</c:v>
                </c:pt>
                <c:pt idx="1">
                  <c:v>4.58</c:v>
                </c:pt>
                <c:pt idx="2">
                  <c:v>4.58</c:v>
                </c:pt>
                <c:pt idx="3">
                  <c:v>4.45</c:v>
                </c:pt>
                <c:pt idx="4">
                  <c:v>4.22</c:v>
                </c:pt>
                <c:pt idx="5">
                  <c:v>3.95</c:v>
                </c:pt>
                <c:pt idx="6">
                  <c:v>3.68</c:v>
                </c:pt>
                <c:pt idx="7">
                  <c:v>3.43</c:v>
                </c:pt>
                <c:pt idx="8">
                  <c:v>3.2</c:v>
                </c:pt>
                <c:pt idx="9">
                  <c:v>3</c:v>
                </c:pt>
                <c:pt idx="10">
                  <c:v>2.82</c:v>
                </c:pt>
                <c:pt idx="11">
                  <c:v>2.5099999999999998</c:v>
                </c:pt>
                <c:pt idx="12">
                  <c:v>2.38</c:v>
                </c:pt>
                <c:pt idx="13">
                  <c:v>2.27</c:v>
                </c:pt>
                <c:pt idx="14">
                  <c:v>2.16</c:v>
                </c:pt>
                <c:pt idx="15">
                  <c:v>2.06</c:v>
                </c:pt>
                <c:pt idx="16">
                  <c:v>1.89</c:v>
                </c:pt>
                <c:pt idx="17">
                  <c:v>1.75</c:v>
                </c:pt>
                <c:pt idx="18">
                  <c:v>1.62</c:v>
                </c:pt>
                <c:pt idx="19">
                  <c:v>1.08</c:v>
                </c:pt>
                <c:pt idx="20">
                  <c:v>0.78</c:v>
                </c:pt>
                <c:pt idx="21">
                  <c:v>0.55000000000000004</c:v>
                </c:pt>
                <c:pt idx="22">
                  <c:v>0.44</c:v>
                </c:pt>
                <c:pt idx="23">
                  <c:v>0.37</c:v>
                </c:pt>
                <c:pt idx="24">
                  <c:v>0.32</c:v>
                </c:pt>
                <c:pt idx="25">
                  <c:v>0.22</c:v>
                </c:pt>
                <c:pt idx="26">
                  <c:v>0.11</c:v>
                </c:pt>
                <c:pt idx="27">
                  <c:v>7.0000000000000007E-2</c:v>
                </c:pt>
                <c:pt idx="28">
                  <c:v>0.06</c:v>
                </c:pt>
                <c:pt idx="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1A-FF4B-B1FF-6C158E51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750575"/>
        <c:axId val="486075328"/>
      </c:scatterChart>
      <c:valAx>
        <c:axId val="198375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75328"/>
        <c:crosses val="autoZero"/>
        <c:crossBetween val="midCat"/>
      </c:valAx>
      <c:valAx>
        <c:axId val="48607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75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col1row1 with cardboard'!$C$1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col1row1 with cardboard'!$B$2:$B$29</c:f>
              <c:numCache>
                <c:formatCode>General</c:formatCode>
                <c:ptCount val="28"/>
                <c:pt idx="0">
                  <c:v>0.24</c:v>
                </c:pt>
                <c:pt idx="1">
                  <c:v>0.3</c:v>
                </c:pt>
                <c:pt idx="2">
                  <c:v>0.36</c:v>
                </c:pt>
                <c:pt idx="3">
                  <c:v>0.47</c:v>
                </c:pt>
                <c:pt idx="4">
                  <c:v>0.53</c:v>
                </c:pt>
                <c:pt idx="5">
                  <c:v>0.7</c:v>
                </c:pt>
                <c:pt idx="6">
                  <c:v>0.81</c:v>
                </c:pt>
                <c:pt idx="7">
                  <c:v>0.92</c:v>
                </c:pt>
                <c:pt idx="8">
                  <c:v>1.03</c:v>
                </c:pt>
                <c:pt idx="9">
                  <c:v>1.1399999999999999</c:v>
                </c:pt>
                <c:pt idx="10">
                  <c:v>1.25</c:v>
                </c:pt>
                <c:pt idx="11">
                  <c:v>1.35</c:v>
                </c:pt>
                <c:pt idx="12">
                  <c:v>1.47</c:v>
                </c:pt>
                <c:pt idx="13">
                  <c:v>2.19</c:v>
                </c:pt>
                <c:pt idx="14">
                  <c:v>3.19</c:v>
                </c:pt>
                <c:pt idx="15">
                  <c:v>4.1399999999999997</c:v>
                </c:pt>
                <c:pt idx="16">
                  <c:v>5.04</c:v>
                </c:pt>
                <c:pt idx="17">
                  <c:v>5.93</c:v>
                </c:pt>
                <c:pt idx="18">
                  <c:v>6.79</c:v>
                </c:pt>
                <c:pt idx="19">
                  <c:v>9.2100000000000009</c:v>
                </c:pt>
                <c:pt idx="20">
                  <c:v>10.77</c:v>
                </c:pt>
                <c:pt idx="21">
                  <c:v>12.82</c:v>
                </c:pt>
                <c:pt idx="22">
                  <c:v>14.67</c:v>
                </c:pt>
                <c:pt idx="23">
                  <c:v>15.61</c:v>
                </c:pt>
                <c:pt idx="24">
                  <c:v>21.32</c:v>
                </c:pt>
                <c:pt idx="25">
                  <c:v>22</c:v>
                </c:pt>
                <c:pt idx="26">
                  <c:v>22.08</c:v>
                </c:pt>
                <c:pt idx="27">
                  <c:v>22.2</c:v>
                </c:pt>
              </c:numCache>
            </c:numRef>
          </c:xVal>
          <c:yVal>
            <c:numRef>
              <c:f>'shading col1row1 with cardboard'!$C$2:$C$29</c:f>
              <c:numCache>
                <c:formatCode>General</c:formatCode>
                <c:ptCount val="28"/>
                <c:pt idx="0">
                  <c:v>0.11</c:v>
                </c:pt>
                <c:pt idx="1">
                  <c:v>0.11</c:v>
                </c:pt>
                <c:pt idx="2">
                  <c:v>0.11</c:v>
                </c:pt>
                <c:pt idx="3">
                  <c:v>0.11</c:v>
                </c:pt>
                <c:pt idx="4">
                  <c:v>0.11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0.11</c:v>
                </c:pt>
                <c:pt idx="10">
                  <c:v>0.11</c:v>
                </c:pt>
                <c:pt idx="11">
                  <c:v>0.11</c:v>
                </c:pt>
                <c:pt idx="12">
                  <c:v>0.11</c:v>
                </c:pt>
                <c:pt idx="13">
                  <c:v>0.11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0.08</c:v>
                </c:pt>
                <c:pt idx="23">
                  <c:v>0.08</c:v>
                </c:pt>
                <c:pt idx="24">
                  <c:v>0.08</c:v>
                </c:pt>
                <c:pt idx="25">
                  <c:v>7.0000000000000007E-2</c:v>
                </c:pt>
                <c:pt idx="26">
                  <c:v>0.05</c:v>
                </c:pt>
                <c:pt idx="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F0-D247-A227-0C5A7E7D1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135456"/>
        <c:axId val="400232848"/>
      </c:scatterChart>
      <c:valAx>
        <c:axId val="775135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232848"/>
        <c:crosses val="autoZero"/>
        <c:crossBetween val="midCat"/>
      </c:valAx>
      <c:valAx>
        <c:axId val="40023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135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col1row1 with paper'!$C$1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col1row1 with paper'!$B$2:$B$36</c:f>
              <c:numCache>
                <c:formatCode>General</c:formatCode>
                <c:ptCount val="35"/>
                <c:pt idx="0">
                  <c:v>2.58</c:v>
                </c:pt>
                <c:pt idx="1">
                  <c:v>3.22</c:v>
                </c:pt>
                <c:pt idx="2">
                  <c:v>3.85</c:v>
                </c:pt>
                <c:pt idx="3">
                  <c:v>5.08</c:v>
                </c:pt>
                <c:pt idx="4">
                  <c:v>6.31</c:v>
                </c:pt>
                <c:pt idx="5">
                  <c:v>7.54</c:v>
                </c:pt>
                <c:pt idx="6">
                  <c:v>8.74</c:v>
                </c:pt>
                <c:pt idx="7">
                  <c:v>9.9700000000000006</c:v>
                </c:pt>
                <c:pt idx="8">
                  <c:v>11.15</c:v>
                </c:pt>
                <c:pt idx="9">
                  <c:v>12.25</c:v>
                </c:pt>
                <c:pt idx="10">
                  <c:v>13.53</c:v>
                </c:pt>
                <c:pt idx="11">
                  <c:v>15.73</c:v>
                </c:pt>
                <c:pt idx="12">
                  <c:v>15.91</c:v>
                </c:pt>
                <c:pt idx="13">
                  <c:v>17.190000000000001</c:v>
                </c:pt>
                <c:pt idx="14">
                  <c:v>18.579999999999998</c:v>
                </c:pt>
                <c:pt idx="15">
                  <c:v>20.059999999999999</c:v>
                </c:pt>
                <c:pt idx="16">
                  <c:v>21.02</c:v>
                </c:pt>
                <c:pt idx="17">
                  <c:v>21.14</c:v>
                </c:pt>
                <c:pt idx="18">
                  <c:v>21.25</c:v>
                </c:pt>
                <c:pt idx="19">
                  <c:v>21.2</c:v>
                </c:pt>
                <c:pt idx="20">
                  <c:v>21.5</c:v>
                </c:pt>
                <c:pt idx="21">
                  <c:v>21.63</c:v>
                </c:pt>
                <c:pt idx="22">
                  <c:v>21.8</c:v>
                </c:pt>
                <c:pt idx="23">
                  <c:v>21.89</c:v>
                </c:pt>
                <c:pt idx="24">
                  <c:v>21.94</c:v>
                </c:pt>
                <c:pt idx="25">
                  <c:v>22</c:v>
                </c:pt>
                <c:pt idx="26">
                  <c:v>22.08</c:v>
                </c:pt>
                <c:pt idx="27">
                  <c:v>22.12</c:v>
                </c:pt>
                <c:pt idx="28">
                  <c:v>22.15</c:v>
                </c:pt>
                <c:pt idx="29">
                  <c:v>22.17</c:v>
                </c:pt>
                <c:pt idx="30">
                  <c:v>22.18</c:v>
                </c:pt>
                <c:pt idx="31">
                  <c:v>22.19</c:v>
                </c:pt>
                <c:pt idx="32">
                  <c:v>22.2</c:v>
                </c:pt>
                <c:pt idx="33">
                  <c:v>22.21</c:v>
                </c:pt>
                <c:pt idx="34">
                  <c:v>22.26</c:v>
                </c:pt>
              </c:numCache>
            </c:numRef>
          </c:xVal>
          <c:yVal>
            <c:numRef>
              <c:f>'shading col1row1 with paper'!$C$2:$C$36</c:f>
              <c:numCache>
                <c:formatCode>General</c:formatCode>
                <c:ptCount val="35"/>
                <c:pt idx="0">
                  <c:v>1.28</c:v>
                </c:pt>
                <c:pt idx="1">
                  <c:v>1.28</c:v>
                </c:pt>
                <c:pt idx="2">
                  <c:v>1.27</c:v>
                </c:pt>
                <c:pt idx="3">
                  <c:v>1.27</c:v>
                </c:pt>
                <c:pt idx="4">
                  <c:v>1.26</c:v>
                </c:pt>
                <c:pt idx="5">
                  <c:v>1.25</c:v>
                </c:pt>
                <c:pt idx="6">
                  <c:v>1.25</c:v>
                </c:pt>
                <c:pt idx="7">
                  <c:v>1.24</c:v>
                </c:pt>
                <c:pt idx="8">
                  <c:v>1.24</c:v>
                </c:pt>
                <c:pt idx="9">
                  <c:v>1.24</c:v>
                </c:pt>
                <c:pt idx="10">
                  <c:v>1.24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1.24</c:v>
                </c:pt>
                <c:pt idx="15">
                  <c:v>1.25</c:v>
                </c:pt>
                <c:pt idx="16">
                  <c:v>1.24</c:v>
                </c:pt>
                <c:pt idx="17">
                  <c:v>1.18</c:v>
                </c:pt>
                <c:pt idx="18">
                  <c:v>1.1200000000000001</c:v>
                </c:pt>
                <c:pt idx="19">
                  <c:v>1.07</c:v>
                </c:pt>
                <c:pt idx="20">
                  <c:v>0.86</c:v>
                </c:pt>
                <c:pt idx="21">
                  <c:v>0.72</c:v>
                </c:pt>
                <c:pt idx="22">
                  <c:v>0.55000000000000004</c:v>
                </c:pt>
                <c:pt idx="23">
                  <c:v>0.44</c:v>
                </c:pt>
                <c:pt idx="24">
                  <c:v>0.37</c:v>
                </c:pt>
                <c:pt idx="25">
                  <c:v>0.31</c:v>
                </c:pt>
                <c:pt idx="26">
                  <c:v>0.22</c:v>
                </c:pt>
                <c:pt idx="27">
                  <c:v>0.18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69-8244-A561-C12E4E62E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978736"/>
        <c:axId val="485156480"/>
      </c:scatterChart>
      <c:valAx>
        <c:axId val="39997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56480"/>
        <c:crosses val="autoZero"/>
        <c:crossBetween val="midCat"/>
      </c:valAx>
      <c:valAx>
        <c:axId val="4851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97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col2row1 with paper 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col2row1 with paper '!$B$2:$B$36</c:f>
              <c:numCache>
                <c:formatCode>General</c:formatCode>
                <c:ptCount val="35"/>
                <c:pt idx="0">
                  <c:v>2.5099999999999998</c:v>
                </c:pt>
                <c:pt idx="1">
                  <c:v>3.11</c:v>
                </c:pt>
                <c:pt idx="2">
                  <c:v>3.72</c:v>
                </c:pt>
                <c:pt idx="3">
                  <c:v>4.91</c:v>
                </c:pt>
                <c:pt idx="4">
                  <c:v>6.08</c:v>
                </c:pt>
                <c:pt idx="5">
                  <c:v>7.31</c:v>
                </c:pt>
                <c:pt idx="6">
                  <c:v>8.4600000000000009</c:v>
                </c:pt>
                <c:pt idx="7">
                  <c:v>9.6300000000000008</c:v>
                </c:pt>
                <c:pt idx="8">
                  <c:v>10.92</c:v>
                </c:pt>
                <c:pt idx="9">
                  <c:v>11.98</c:v>
                </c:pt>
                <c:pt idx="10">
                  <c:v>13.13</c:v>
                </c:pt>
                <c:pt idx="11">
                  <c:v>14.29</c:v>
                </c:pt>
                <c:pt idx="12">
                  <c:v>15.44</c:v>
                </c:pt>
                <c:pt idx="13">
                  <c:v>16.59</c:v>
                </c:pt>
                <c:pt idx="14">
                  <c:v>17.850000000000001</c:v>
                </c:pt>
                <c:pt idx="15">
                  <c:v>19.190000000000001</c:v>
                </c:pt>
                <c:pt idx="16">
                  <c:v>20.49</c:v>
                </c:pt>
                <c:pt idx="17">
                  <c:v>21.09</c:v>
                </c:pt>
                <c:pt idx="18">
                  <c:v>21.19</c:v>
                </c:pt>
                <c:pt idx="19">
                  <c:v>21.26</c:v>
                </c:pt>
                <c:pt idx="20">
                  <c:v>21.49</c:v>
                </c:pt>
                <c:pt idx="21">
                  <c:v>21.62</c:v>
                </c:pt>
                <c:pt idx="22">
                  <c:v>21.8</c:v>
                </c:pt>
                <c:pt idx="23">
                  <c:v>21.89</c:v>
                </c:pt>
                <c:pt idx="24">
                  <c:v>21.95</c:v>
                </c:pt>
                <c:pt idx="25">
                  <c:v>21.99</c:v>
                </c:pt>
                <c:pt idx="26">
                  <c:v>22.06</c:v>
                </c:pt>
                <c:pt idx="27">
                  <c:v>22.09</c:v>
                </c:pt>
                <c:pt idx="28">
                  <c:v>22.12</c:v>
                </c:pt>
                <c:pt idx="29">
                  <c:v>22.14</c:v>
                </c:pt>
                <c:pt idx="30">
                  <c:v>22.15</c:v>
                </c:pt>
                <c:pt idx="31">
                  <c:v>22.16</c:v>
                </c:pt>
                <c:pt idx="32">
                  <c:v>22.18</c:v>
                </c:pt>
                <c:pt idx="33">
                  <c:v>22.18</c:v>
                </c:pt>
                <c:pt idx="34">
                  <c:v>22.23</c:v>
                </c:pt>
              </c:numCache>
            </c:numRef>
          </c:xVal>
          <c:yVal>
            <c:numRef>
              <c:f>'shading col2row1 with paper '!$C$2:$C$36</c:f>
              <c:numCache>
                <c:formatCode>General</c:formatCode>
                <c:ptCount val="35"/>
                <c:pt idx="0">
                  <c:v>1.24</c:v>
                </c:pt>
                <c:pt idx="1">
                  <c:v>1.24</c:v>
                </c:pt>
                <c:pt idx="2">
                  <c:v>1.23</c:v>
                </c:pt>
                <c:pt idx="3">
                  <c:v>1.22</c:v>
                </c:pt>
                <c:pt idx="4">
                  <c:v>1.22</c:v>
                </c:pt>
                <c:pt idx="5">
                  <c:v>1.22</c:v>
                </c:pt>
                <c:pt idx="6">
                  <c:v>1.21</c:v>
                </c:pt>
                <c:pt idx="7">
                  <c:v>1.2</c:v>
                </c:pt>
                <c:pt idx="8">
                  <c:v>1.2</c:v>
                </c:pt>
                <c:pt idx="9">
                  <c:v>1.2</c:v>
                </c:pt>
                <c:pt idx="10">
                  <c:v>1.2</c:v>
                </c:pt>
                <c:pt idx="11">
                  <c:v>1.19</c:v>
                </c:pt>
                <c:pt idx="12">
                  <c:v>1.19</c:v>
                </c:pt>
                <c:pt idx="13">
                  <c:v>1.19</c:v>
                </c:pt>
                <c:pt idx="14">
                  <c:v>1.19</c:v>
                </c:pt>
                <c:pt idx="15">
                  <c:v>1.2</c:v>
                </c:pt>
                <c:pt idx="16">
                  <c:v>1.21</c:v>
                </c:pt>
                <c:pt idx="17">
                  <c:v>1.17</c:v>
                </c:pt>
                <c:pt idx="18">
                  <c:v>1.1200000000000001</c:v>
                </c:pt>
                <c:pt idx="19">
                  <c:v>1.07</c:v>
                </c:pt>
                <c:pt idx="20">
                  <c:v>0.86</c:v>
                </c:pt>
                <c:pt idx="21">
                  <c:v>0.72</c:v>
                </c:pt>
                <c:pt idx="22">
                  <c:v>0.55000000000000004</c:v>
                </c:pt>
                <c:pt idx="23">
                  <c:v>0.44</c:v>
                </c:pt>
                <c:pt idx="24">
                  <c:v>0.37</c:v>
                </c:pt>
                <c:pt idx="25">
                  <c:v>0.31</c:v>
                </c:pt>
                <c:pt idx="26">
                  <c:v>0.22</c:v>
                </c:pt>
                <c:pt idx="27">
                  <c:v>0.18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4-AB49-A022-68486C2E7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846256"/>
        <c:axId val="2106339152"/>
      </c:scatterChart>
      <c:valAx>
        <c:axId val="46284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339152"/>
        <c:crosses val="autoZero"/>
        <c:crossBetween val="midCat"/>
      </c:valAx>
      <c:valAx>
        <c:axId val="21063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84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col3row1 with paper 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col3row1 with paper '!$B$2:$B$36</c:f>
              <c:numCache>
                <c:formatCode>General</c:formatCode>
                <c:ptCount val="35"/>
                <c:pt idx="0">
                  <c:v>2.76</c:v>
                </c:pt>
                <c:pt idx="1">
                  <c:v>3.43</c:v>
                </c:pt>
                <c:pt idx="2">
                  <c:v>4.0999999999999996</c:v>
                </c:pt>
                <c:pt idx="3">
                  <c:v>5.4</c:v>
                </c:pt>
                <c:pt idx="4">
                  <c:v>6.71</c:v>
                </c:pt>
                <c:pt idx="5">
                  <c:v>8.0500000000000007</c:v>
                </c:pt>
                <c:pt idx="6">
                  <c:v>9.33</c:v>
                </c:pt>
                <c:pt idx="7">
                  <c:v>10.6</c:v>
                </c:pt>
                <c:pt idx="8">
                  <c:v>11.89</c:v>
                </c:pt>
                <c:pt idx="9">
                  <c:v>13.12</c:v>
                </c:pt>
                <c:pt idx="10">
                  <c:v>14.34</c:v>
                </c:pt>
                <c:pt idx="11">
                  <c:v>15.59</c:v>
                </c:pt>
                <c:pt idx="12">
                  <c:v>16.829999999999998</c:v>
                </c:pt>
                <c:pt idx="13">
                  <c:v>18.239999999999998</c:v>
                </c:pt>
                <c:pt idx="14">
                  <c:v>19.72</c:v>
                </c:pt>
                <c:pt idx="15">
                  <c:v>20.84</c:v>
                </c:pt>
                <c:pt idx="16">
                  <c:v>21</c:v>
                </c:pt>
                <c:pt idx="17">
                  <c:v>21.03</c:v>
                </c:pt>
                <c:pt idx="18">
                  <c:v>21.14</c:v>
                </c:pt>
                <c:pt idx="19">
                  <c:v>21.2</c:v>
                </c:pt>
                <c:pt idx="20">
                  <c:v>21.4</c:v>
                </c:pt>
                <c:pt idx="21">
                  <c:v>21.53</c:v>
                </c:pt>
                <c:pt idx="22">
                  <c:v>21.67</c:v>
                </c:pt>
                <c:pt idx="23">
                  <c:v>21.77</c:v>
                </c:pt>
                <c:pt idx="24">
                  <c:v>21.84</c:v>
                </c:pt>
                <c:pt idx="25">
                  <c:v>21.88</c:v>
                </c:pt>
                <c:pt idx="26">
                  <c:v>21.96</c:v>
                </c:pt>
                <c:pt idx="27">
                  <c:v>22</c:v>
                </c:pt>
                <c:pt idx="28">
                  <c:v>22.03</c:v>
                </c:pt>
                <c:pt idx="29">
                  <c:v>22.05</c:v>
                </c:pt>
                <c:pt idx="30">
                  <c:v>22.05</c:v>
                </c:pt>
                <c:pt idx="31">
                  <c:v>22.08</c:v>
                </c:pt>
                <c:pt idx="32">
                  <c:v>22.08</c:v>
                </c:pt>
                <c:pt idx="33">
                  <c:v>22.12</c:v>
                </c:pt>
                <c:pt idx="34">
                  <c:v>22.14</c:v>
                </c:pt>
              </c:numCache>
            </c:numRef>
          </c:xVal>
          <c:yVal>
            <c:numRef>
              <c:f>'shading col3row1 with paper '!$C$2:$C$36</c:f>
              <c:numCache>
                <c:formatCode>General</c:formatCode>
                <c:ptCount val="35"/>
                <c:pt idx="0">
                  <c:v>1.36</c:v>
                </c:pt>
                <c:pt idx="1">
                  <c:v>1.36</c:v>
                </c:pt>
                <c:pt idx="2">
                  <c:v>1.36</c:v>
                </c:pt>
                <c:pt idx="3">
                  <c:v>1.35</c:v>
                </c:pt>
                <c:pt idx="4">
                  <c:v>1.34</c:v>
                </c:pt>
                <c:pt idx="5">
                  <c:v>1.34</c:v>
                </c:pt>
                <c:pt idx="6">
                  <c:v>1.33</c:v>
                </c:pt>
                <c:pt idx="7">
                  <c:v>1.33</c:v>
                </c:pt>
                <c:pt idx="8">
                  <c:v>1.32</c:v>
                </c:pt>
                <c:pt idx="9">
                  <c:v>1.31</c:v>
                </c:pt>
                <c:pt idx="10">
                  <c:v>1.31</c:v>
                </c:pt>
                <c:pt idx="11">
                  <c:v>1.3</c:v>
                </c:pt>
                <c:pt idx="12">
                  <c:v>1.3</c:v>
                </c:pt>
                <c:pt idx="13">
                  <c:v>1.31</c:v>
                </c:pt>
                <c:pt idx="14">
                  <c:v>1.32</c:v>
                </c:pt>
                <c:pt idx="15">
                  <c:v>1.31</c:v>
                </c:pt>
                <c:pt idx="16">
                  <c:v>1.24</c:v>
                </c:pt>
                <c:pt idx="17">
                  <c:v>1.17</c:v>
                </c:pt>
                <c:pt idx="18">
                  <c:v>1.1100000000000001</c:v>
                </c:pt>
                <c:pt idx="19">
                  <c:v>1.06</c:v>
                </c:pt>
                <c:pt idx="20">
                  <c:v>0.86</c:v>
                </c:pt>
                <c:pt idx="21">
                  <c:v>0.72</c:v>
                </c:pt>
                <c:pt idx="22">
                  <c:v>0.54</c:v>
                </c:pt>
                <c:pt idx="23">
                  <c:v>0.44</c:v>
                </c:pt>
                <c:pt idx="24">
                  <c:v>0.36</c:v>
                </c:pt>
                <c:pt idx="25">
                  <c:v>0.31</c:v>
                </c:pt>
                <c:pt idx="26">
                  <c:v>0.22</c:v>
                </c:pt>
                <c:pt idx="27">
                  <c:v>0.18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96-B340-8F57-8DD987B78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081584"/>
        <c:axId val="672743024"/>
      </c:scatterChart>
      <c:valAx>
        <c:axId val="4770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43024"/>
        <c:crosses val="autoZero"/>
        <c:crossBetween val="midCat"/>
      </c:valAx>
      <c:valAx>
        <c:axId val="672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8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'baseline 12h50'!$C$1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'baseline 12h50'!$B$2:$B$35</c:f>
              <c:numCache>
                <c:formatCode>General</c:formatCode>
                <c:ptCount val="34"/>
                <c:pt idx="0">
                  <c:v>10.29</c:v>
                </c:pt>
                <c:pt idx="1">
                  <c:v>12.83</c:v>
                </c:pt>
                <c:pt idx="2">
                  <c:v>14.89</c:v>
                </c:pt>
                <c:pt idx="3">
                  <c:v>16.36</c:v>
                </c:pt>
                <c:pt idx="4">
                  <c:v>17.309999999999999</c:v>
                </c:pt>
                <c:pt idx="5">
                  <c:v>17.97</c:v>
                </c:pt>
                <c:pt idx="6">
                  <c:v>18.45</c:v>
                </c:pt>
                <c:pt idx="7">
                  <c:v>18.82</c:v>
                </c:pt>
                <c:pt idx="8">
                  <c:v>19.13</c:v>
                </c:pt>
                <c:pt idx="9">
                  <c:v>19.36</c:v>
                </c:pt>
                <c:pt idx="10">
                  <c:v>19.309999999999999</c:v>
                </c:pt>
                <c:pt idx="11">
                  <c:v>19.850000000000001</c:v>
                </c:pt>
                <c:pt idx="12">
                  <c:v>20.13</c:v>
                </c:pt>
                <c:pt idx="13">
                  <c:v>20.350000000000001</c:v>
                </c:pt>
                <c:pt idx="14">
                  <c:v>20.5</c:v>
                </c:pt>
                <c:pt idx="15">
                  <c:v>20.66</c:v>
                </c:pt>
                <c:pt idx="16">
                  <c:v>20.78</c:v>
                </c:pt>
                <c:pt idx="17">
                  <c:v>20.88</c:v>
                </c:pt>
                <c:pt idx="18">
                  <c:v>20.96</c:v>
                </c:pt>
                <c:pt idx="19">
                  <c:v>21.03</c:v>
                </c:pt>
                <c:pt idx="20">
                  <c:v>21.1</c:v>
                </c:pt>
                <c:pt idx="21">
                  <c:v>21.17</c:v>
                </c:pt>
                <c:pt idx="22">
                  <c:v>21.22</c:v>
                </c:pt>
                <c:pt idx="23">
                  <c:v>21.28</c:v>
                </c:pt>
                <c:pt idx="24">
                  <c:v>21.58</c:v>
                </c:pt>
                <c:pt idx="25">
                  <c:v>21.72</c:v>
                </c:pt>
                <c:pt idx="26">
                  <c:v>21.81</c:v>
                </c:pt>
                <c:pt idx="27">
                  <c:v>21.88</c:v>
                </c:pt>
                <c:pt idx="28">
                  <c:v>21.92</c:v>
                </c:pt>
                <c:pt idx="29">
                  <c:v>22</c:v>
                </c:pt>
                <c:pt idx="30">
                  <c:v>22.09</c:v>
                </c:pt>
                <c:pt idx="31">
                  <c:v>22.11</c:v>
                </c:pt>
                <c:pt idx="32">
                  <c:v>22.13</c:v>
                </c:pt>
                <c:pt idx="33">
                  <c:v>22.17</c:v>
                </c:pt>
              </c:numCache>
            </c:numRef>
          </c:xVal>
          <c:yVal>
            <c:numRef>
              <c:f>'baseline 12h50'!$C$2:$C$35</c:f>
              <c:numCache>
                <c:formatCode>General</c:formatCode>
                <c:ptCount val="34"/>
                <c:pt idx="0">
                  <c:v>5.1100000000000003</c:v>
                </c:pt>
                <c:pt idx="1">
                  <c:v>5.1100000000000003</c:v>
                </c:pt>
                <c:pt idx="2">
                  <c:v>4.95</c:v>
                </c:pt>
                <c:pt idx="3">
                  <c:v>4.67</c:v>
                </c:pt>
                <c:pt idx="4">
                  <c:v>4.32</c:v>
                </c:pt>
                <c:pt idx="5">
                  <c:v>3.99</c:v>
                </c:pt>
                <c:pt idx="6">
                  <c:v>3.69</c:v>
                </c:pt>
                <c:pt idx="7">
                  <c:v>3.42</c:v>
                </c:pt>
                <c:pt idx="8">
                  <c:v>3.19</c:v>
                </c:pt>
                <c:pt idx="9">
                  <c:v>2.98</c:v>
                </c:pt>
                <c:pt idx="10">
                  <c:v>2.97</c:v>
                </c:pt>
                <c:pt idx="11">
                  <c:v>2.548</c:v>
                </c:pt>
                <c:pt idx="12">
                  <c:v>2.2400000000000002</c:v>
                </c:pt>
                <c:pt idx="13">
                  <c:v>2.04</c:v>
                </c:pt>
                <c:pt idx="14">
                  <c:v>1.87</c:v>
                </c:pt>
                <c:pt idx="15">
                  <c:v>1.72</c:v>
                </c:pt>
                <c:pt idx="16">
                  <c:v>1.68</c:v>
                </c:pt>
                <c:pt idx="17">
                  <c:v>1.49</c:v>
                </c:pt>
                <c:pt idx="18">
                  <c:v>1.4</c:v>
                </c:pt>
                <c:pt idx="19">
                  <c:v>1.32</c:v>
                </c:pt>
                <c:pt idx="20">
                  <c:v>1.24</c:v>
                </c:pt>
                <c:pt idx="21">
                  <c:v>1.18</c:v>
                </c:pt>
                <c:pt idx="22">
                  <c:v>1.1200000000000001</c:v>
                </c:pt>
                <c:pt idx="23">
                  <c:v>1.07</c:v>
                </c:pt>
                <c:pt idx="24">
                  <c:v>0.73</c:v>
                </c:pt>
                <c:pt idx="25">
                  <c:v>0.54</c:v>
                </c:pt>
                <c:pt idx="26">
                  <c:v>0.44</c:v>
                </c:pt>
                <c:pt idx="27">
                  <c:v>0.36</c:v>
                </c:pt>
                <c:pt idx="28">
                  <c:v>0.31</c:v>
                </c:pt>
                <c:pt idx="29">
                  <c:v>0.22</c:v>
                </c:pt>
                <c:pt idx="30">
                  <c:v>0.11</c:v>
                </c:pt>
                <c:pt idx="31">
                  <c:v>7.0000000000000007E-2</c:v>
                </c:pt>
                <c:pt idx="32">
                  <c:v>0.06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9-244C-93A1-A6E9507B0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1140688"/>
        <c:axId val="1941766608"/>
      </c:scatterChart>
      <c:valAx>
        <c:axId val="194114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766608"/>
        <c:crosses val="autoZero"/>
        <c:crossBetween val="midCat"/>
      </c:valAx>
      <c:valAx>
        <c:axId val="194176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14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50% col1row1 with paper'!$C$1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50% col1row1 with paper'!$B$2:$B$36</c:f>
              <c:numCache>
                <c:formatCode>General</c:formatCode>
                <c:ptCount val="35"/>
                <c:pt idx="0">
                  <c:v>4.91</c:v>
                </c:pt>
                <c:pt idx="1">
                  <c:v>6.1</c:v>
                </c:pt>
                <c:pt idx="2">
                  <c:v>7.3</c:v>
                </c:pt>
                <c:pt idx="3">
                  <c:v>9.65</c:v>
                </c:pt>
                <c:pt idx="4">
                  <c:v>11.96</c:v>
                </c:pt>
                <c:pt idx="5">
                  <c:v>14.3</c:v>
                </c:pt>
                <c:pt idx="6">
                  <c:v>16.61</c:v>
                </c:pt>
                <c:pt idx="7">
                  <c:v>19.16</c:v>
                </c:pt>
                <c:pt idx="8">
                  <c:v>20.28</c:v>
                </c:pt>
                <c:pt idx="9">
                  <c:v>20.53</c:v>
                </c:pt>
                <c:pt idx="10">
                  <c:v>20.75</c:v>
                </c:pt>
                <c:pt idx="11">
                  <c:v>20.93</c:v>
                </c:pt>
                <c:pt idx="12">
                  <c:v>21.05</c:v>
                </c:pt>
                <c:pt idx="13">
                  <c:v>21.18</c:v>
                </c:pt>
                <c:pt idx="14">
                  <c:v>21.27</c:v>
                </c:pt>
                <c:pt idx="15">
                  <c:v>21.37</c:v>
                </c:pt>
                <c:pt idx="16">
                  <c:v>21.46</c:v>
                </c:pt>
                <c:pt idx="17">
                  <c:v>21.51</c:v>
                </c:pt>
                <c:pt idx="18">
                  <c:v>21.58</c:v>
                </c:pt>
                <c:pt idx="19">
                  <c:v>21.63</c:v>
                </c:pt>
                <c:pt idx="20">
                  <c:v>21.82</c:v>
                </c:pt>
                <c:pt idx="21">
                  <c:v>21.95</c:v>
                </c:pt>
                <c:pt idx="22">
                  <c:v>22.11</c:v>
                </c:pt>
                <c:pt idx="23">
                  <c:v>22.2</c:v>
                </c:pt>
                <c:pt idx="24">
                  <c:v>22.26</c:v>
                </c:pt>
                <c:pt idx="25">
                  <c:v>22.29</c:v>
                </c:pt>
                <c:pt idx="26">
                  <c:v>22.37</c:v>
                </c:pt>
                <c:pt idx="27">
                  <c:v>22.4</c:v>
                </c:pt>
                <c:pt idx="28">
                  <c:v>22.43</c:v>
                </c:pt>
                <c:pt idx="29">
                  <c:v>22.44</c:v>
                </c:pt>
                <c:pt idx="30">
                  <c:v>22.44</c:v>
                </c:pt>
                <c:pt idx="31">
                  <c:v>22.47</c:v>
                </c:pt>
                <c:pt idx="32">
                  <c:v>22.48</c:v>
                </c:pt>
                <c:pt idx="33">
                  <c:v>22.49</c:v>
                </c:pt>
                <c:pt idx="34">
                  <c:v>22.52</c:v>
                </c:pt>
              </c:numCache>
            </c:numRef>
          </c:xVal>
          <c:yVal>
            <c:numRef>
              <c:f>'shading 50% col1row1 with paper'!$C$2:$C$36</c:f>
              <c:numCache>
                <c:formatCode>General</c:formatCode>
                <c:ptCount val="35"/>
                <c:pt idx="0">
                  <c:v>2.44</c:v>
                </c:pt>
                <c:pt idx="1">
                  <c:v>2.4300000000000002</c:v>
                </c:pt>
                <c:pt idx="2">
                  <c:v>2.42</c:v>
                </c:pt>
                <c:pt idx="3">
                  <c:v>2.4</c:v>
                </c:pt>
                <c:pt idx="4">
                  <c:v>2.39</c:v>
                </c:pt>
                <c:pt idx="5">
                  <c:v>2.38</c:v>
                </c:pt>
                <c:pt idx="6">
                  <c:v>2.37</c:v>
                </c:pt>
                <c:pt idx="7">
                  <c:v>2.39</c:v>
                </c:pt>
                <c:pt idx="8">
                  <c:v>2.25</c:v>
                </c:pt>
                <c:pt idx="9">
                  <c:v>2.06</c:v>
                </c:pt>
                <c:pt idx="10">
                  <c:v>1.89</c:v>
                </c:pt>
                <c:pt idx="11">
                  <c:v>1.75</c:v>
                </c:pt>
                <c:pt idx="12">
                  <c:v>1.62</c:v>
                </c:pt>
                <c:pt idx="13">
                  <c:v>1.51</c:v>
                </c:pt>
                <c:pt idx="14">
                  <c:v>1.42</c:v>
                </c:pt>
                <c:pt idx="15">
                  <c:v>1.34</c:v>
                </c:pt>
                <c:pt idx="16">
                  <c:v>1.26</c:v>
                </c:pt>
                <c:pt idx="17">
                  <c:v>1.2</c:v>
                </c:pt>
                <c:pt idx="18">
                  <c:v>1.1399999999999999</c:v>
                </c:pt>
                <c:pt idx="19">
                  <c:v>1.08</c:v>
                </c:pt>
                <c:pt idx="20">
                  <c:v>0.87</c:v>
                </c:pt>
                <c:pt idx="21">
                  <c:v>0.73</c:v>
                </c:pt>
                <c:pt idx="22">
                  <c:v>0.55000000000000004</c:v>
                </c:pt>
                <c:pt idx="23">
                  <c:v>0.44</c:v>
                </c:pt>
                <c:pt idx="24">
                  <c:v>0.37</c:v>
                </c:pt>
                <c:pt idx="25">
                  <c:v>0.32</c:v>
                </c:pt>
                <c:pt idx="26">
                  <c:v>0.22</c:v>
                </c:pt>
                <c:pt idx="27">
                  <c:v>0.19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AB-E04A-95D0-03A3F4F3F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966832"/>
        <c:axId val="492443408"/>
      </c:scatterChart>
      <c:valAx>
        <c:axId val="49196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443408"/>
        <c:crosses val="autoZero"/>
        <c:crossBetween val="midCat"/>
      </c:valAx>
      <c:valAx>
        <c:axId val="4924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'baseline 16h00'!$C$1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'baseline 16h00'!$B$2:$B$34</c:f>
              <c:numCache>
                <c:formatCode>General</c:formatCode>
                <c:ptCount val="33"/>
                <c:pt idx="0">
                  <c:v>8.5399999999999991</c:v>
                </c:pt>
                <c:pt idx="1">
                  <c:v>10.61</c:v>
                </c:pt>
                <c:pt idx="2">
                  <c:v>12.78</c:v>
                </c:pt>
                <c:pt idx="3">
                  <c:v>14.71</c:v>
                </c:pt>
                <c:pt idx="4">
                  <c:v>16.28</c:v>
                </c:pt>
                <c:pt idx="5">
                  <c:v>17.399999999999999</c:v>
                </c:pt>
                <c:pt idx="6">
                  <c:v>18.170000000000002</c:v>
                </c:pt>
                <c:pt idx="7">
                  <c:v>18.72</c:v>
                </c:pt>
                <c:pt idx="8">
                  <c:v>19.14</c:v>
                </c:pt>
                <c:pt idx="9">
                  <c:v>19.739999999999998</c:v>
                </c:pt>
                <c:pt idx="10">
                  <c:v>20.14</c:v>
                </c:pt>
                <c:pt idx="11">
                  <c:v>20.45</c:v>
                </c:pt>
                <c:pt idx="12">
                  <c:v>20.68</c:v>
                </c:pt>
                <c:pt idx="13">
                  <c:v>20.89</c:v>
                </c:pt>
                <c:pt idx="14">
                  <c:v>21.04</c:v>
                </c:pt>
                <c:pt idx="15">
                  <c:v>21.17</c:v>
                </c:pt>
                <c:pt idx="16">
                  <c:v>21.28</c:v>
                </c:pt>
                <c:pt idx="17">
                  <c:v>21.36</c:v>
                </c:pt>
                <c:pt idx="18">
                  <c:v>21.45</c:v>
                </c:pt>
                <c:pt idx="19">
                  <c:v>21.52</c:v>
                </c:pt>
                <c:pt idx="20">
                  <c:v>21.6</c:v>
                </c:pt>
                <c:pt idx="21">
                  <c:v>21.68</c:v>
                </c:pt>
                <c:pt idx="22">
                  <c:v>21.73</c:v>
                </c:pt>
                <c:pt idx="23">
                  <c:v>22.04</c:v>
                </c:pt>
                <c:pt idx="24">
                  <c:v>22.19</c:v>
                </c:pt>
                <c:pt idx="25">
                  <c:v>22.28</c:v>
                </c:pt>
                <c:pt idx="26">
                  <c:v>22.34</c:v>
                </c:pt>
                <c:pt idx="27">
                  <c:v>22.39</c:v>
                </c:pt>
                <c:pt idx="28">
                  <c:v>22.547000000000001</c:v>
                </c:pt>
                <c:pt idx="29">
                  <c:v>22.52</c:v>
                </c:pt>
                <c:pt idx="30">
                  <c:v>22.58</c:v>
                </c:pt>
                <c:pt idx="31">
                  <c:v>22.6</c:v>
                </c:pt>
                <c:pt idx="32">
                  <c:v>22.64</c:v>
                </c:pt>
              </c:numCache>
            </c:numRef>
          </c:xVal>
          <c:yVal>
            <c:numRef>
              <c:f>'baseline 16h00'!$C$2:$C$34</c:f>
              <c:numCache>
                <c:formatCode>General</c:formatCode>
                <c:ptCount val="33"/>
                <c:pt idx="0">
                  <c:v>4.24</c:v>
                </c:pt>
                <c:pt idx="1">
                  <c:v>4.21</c:v>
                </c:pt>
                <c:pt idx="2">
                  <c:v>4.22</c:v>
                </c:pt>
                <c:pt idx="3">
                  <c:v>4.1900000000000004</c:v>
                </c:pt>
                <c:pt idx="4">
                  <c:v>4.0599999999999996</c:v>
                </c:pt>
                <c:pt idx="5">
                  <c:v>3.86</c:v>
                </c:pt>
                <c:pt idx="6">
                  <c:v>3.63</c:v>
                </c:pt>
                <c:pt idx="7">
                  <c:v>3.4</c:v>
                </c:pt>
                <c:pt idx="8">
                  <c:v>3.19</c:v>
                </c:pt>
                <c:pt idx="9">
                  <c:v>2.82</c:v>
                </c:pt>
                <c:pt idx="10">
                  <c:v>2.52</c:v>
                </c:pt>
                <c:pt idx="11">
                  <c:v>2.27</c:v>
                </c:pt>
                <c:pt idx="12">
                  <c:v>2.0699999999999998</c:v>
                </c:pt>
                <c:pt idx="13">
                  <c:v>1.9</c:v>
                </c:pt>
                <c:pt idx="14">
                  <c:v>1.76</c:v>
                </c:pt>
                <c:pt idx="15">
                  <c:v>1.63</c:v>
                </c:pt>
                <c:pt idx="16">
                  <c:v>1.52</c:v>
                </c:pt>
                <c:pt idx="17">
                  <c:v>1.43</c:v>
                </c:pt>
                <c:pt idx="18">
                  <c:v>1.34</c:v>
                </c:pt>
                <c:pt idx="19">
                  <c:v>1.27</c:v>
                </c:pt>
                <c:pt idx="20">
                  <c:v>1.2</c:v>
                </c:pt>
                <c:pt idx="21">
                  <c:v>1.1399999999999999</c:v>
                </c:pt>
                <c:pt idx="22">
                  <c:v>1.0900000000000001</c:v>
                </c:pt>
                <c:pt idx="23">
                  <c:v>0.74</c:v>
                </c:pt>
                <c:pt idx="24">
                  <c:v>0.56000000000000005</c:v>
                </c:pt>
                <c:pt idx="25">
                  <c:v>0.45</c:v>
                </c:pt>
                <c:pt idx="26">
                  <c:v>0.37</c:v>
                </c:pt>
                <c:pt idx="27">
                  <c:v>0.32</c:v>
                </c:pt>
                <c:pt idx="28">
                  <c:v>0.22</c:v>
                </c:pt>
                <c:pt idx="29">
                  <c:v>0.11</c:v>
                </c:pt>
                <c:pt idx="30">
                  <c:v>7.0000000000000007E-2</c:v>
                </c:pt>
                <c:pt idx="31">
                  <c:v>0.06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82-E940-B8F1-3FED6A8E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6360160"/>
        <c:axId val="775742480"/>
      </c:scatterChart>
      <c:valAx>
        <c:axId val="192636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742480"/>
        <c:crosses val="autoZero"/>
        <c:crossBetween val="midCat"/>
      </c:valAx>
      <c:valAx>
        <c:axId val="77574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36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565150</xdr:colOff>
      <xdr:row>11</xdr:row>
      <xdr:rowOff>107950</xdr:rowOff>
    </xdr:from>
    <xdr:to>
      <xdr:col>13</xdr:col>
      <xdr:colOff>184150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D8E41D-D117-930F-159D-669B94E141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622300</xdr:colOff>
      <xdr:row>10</xdr:row>
      <xdr:rowOff>171450</xdr:rowOff>
    </xdr:from>
    <xdr:to>
      <xdr:col>14</xdr:col>
      <xdr:colOff>241300</xdr:colOff>
      <xdr:row>24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B126E2-E251-E994-677B-1BD3D5954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355600</xdr:colOff>
      <xdr:row>9</xdr:row>
      <xdr:rowOff>31750</xdr:rowOff>
    </xdr:from>
    <xdr:to>
      <xdr:col>13</xdr:col>
      <xdr:colOff>800100</xdr:colOff>
      <xdr:row>22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982731-23C4-69AC-A765-AEF5F8989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0DF6F-8344-CACF-B207-4323C2A75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E72E8A-55AA-224B-DB7D-C0950C81D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AE489-E959-B1EE-D2EE-D2254CC88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C9C2B2-2AF1-92F0-8D77-322EB97A7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0244A-8CC8-CD1E-226B-8FBF7F4BC8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424090-5AC7-FD39-49D1-AF933484E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5A90-7088-7649-A4D6-323E0C612F7D}">
  <dimension ref="A1:C38"/>
  <sheetViews>
    <sheetView workbookViewId="0">
      <selection activeCell="F10" sqref="F1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8.23</v>
      </c>
      <c r="C2" s="1">
        <v>4.1399999999999997</v>
      </c>
    </row>
    <row r="3" spans="1:3" x14ac:dyDescent="0.2">
      <c r="A3" s="1">
        <v>3</v>
      </c>
      <c r="B3" s="1">
        <v>12.45</v>
      </c>
      <c r="C3" s="1">
        <v>4.13</v>
      </c>
    </row>
    <row r="4" spans="1:3" x14ac:dyDescent="0.2">
      <c r="A4" s="1">
        <v>4</v>
      </c>
      <c r="B4" s="1">
        <v>16.14</v>
      </c>
      <c r="C4" s="1">
        <v>4.03</v>
      </c>
    </row>
    <row r="5" spans="1:3" x14ac:dyDescent="0.2">
      <c r="A5" s="1">
        <v>5</v>
      </c>
      <c r="B5" s="1">
        <v>18.100000000000001</v>
      </c>
      <c r="C5" s="1">
        <v>3.62</v>
      </c>
    </row>
    <row r="6" spans="1:3" x14ac:dyDescent="0.2">
      <c r="A6" s="1">
        <v>6</v>
      </c>
      <c r="B6" s="1">
        <v>19.09</v>
      </c>
      <c r="C6" s="1">
        <v>3.18</v>
      </c>
    </row>
    <row r="7" spans="1:3" x14ac:dyDescent="0.2">
      <c r="A7" s="1">
        <v>7</v>
      </c>
      <c r="B7" s="1">
        <v>19.7</v>
      </c>
      <c r="C7" s="1">
        <v>2.82</v>
      </c>
    </row>
    <row r="8" spans="1:3" x14ac:dyDescent="0.2">
      <c r="A8" s="1">
        <v>8</v>
      </c>
      <c r="B8" s="1">
        <v>20.100000000000001</v>
      </c>
      <c r="C8" s="1">
        <v>2.5099999999999998</v>
      </c>
    </row>
    <row r="9" spans="1:3" x14ac:dyDescent="0.2">
      <c r="A9" s="1">
        <v>9</v>
      </c>
      <c r="B9" s="1">
        <v>20.37</v>
      </c>
      <c r="C9" s="1">
        <v>2.2599999999999998</v>
      </c>
    </row>
    <row r="10" spans="1:3" x14ac:dyDescent="0.2">
      <c r="A10" s="1">
        <v>10</v>
      </c>
      <c r="B10" s="1">
        <v>20.64</v>
      </c>
      <c r="C10" s="1">
        <v>2.0699999999999998</v>
      </c>
    </row>
    <row r="11" spans="1:3" x14ac:dyDescent="0.2">
      <c r="A11" s="1">
        <v>11</v>
      </c>
      <c r="B11" s="1">
        <v>20.83</v>
      </c>
      <c r="C11" s="1">
        <v>1.9</v>
      </c>
    </row>
    <row r="12" spans="1:3" x14ac:dyDescent="0.2">
      <c r="A12" s="1">
        <v>12</v>
      </c>
      <c r="B12" s="1">
        <v>21</v>
      </c>
      <c r="C12" s="1">
        <v>1.75</v>
      </c>
    </row>
    <row r="13" spans="1:3" x14ac:dyDescent="0.2">
      <c r="A13" s="1">
        <v>13</v>
      </c>
      <c r="B13" s="1">
        <v>21.09</v>
      </c>
      <c r="C13" s="1">
        <v>1.62</v>
      </c>
    </row>
    <row r="14" spans="1:3" x14ac:dyDescent="0.2">
      <c r="A14" s="1">
        <v>14</v>
      </c>
      <c r="B14" s="1">
        <v>21.19</v>
      </c>
      <c r="C14" s="1">
        <v>1.52</v>
      </c>
    </row>
    <row r="15" spans="1:3" x14ac:dyDescent="0.2">
      <c r="A15" s="1">
        <v>16</v>
      </c>
      <c r="B15" s="1">
        <v>21.37</v>
      </c>
      <c r="C15" s="1">
        <v>1.34</v>
      </c>
    </row>
    <row r="16" spans="1:3" x14ac:dyDescent="0.2">
      <c r="A16" s="1">
        <v>18</v>
      </c>
      <c r="B16" s="1">
        <v>21.53</v>
      </c>
      <c r="C16" s="1">
        <v>1.2</v>
      </c>
    </row>
    <row r="17" spans="1:3" x14ac:dyDescent="0.2">
      <c r="A17" s="1">
        <v>20</v>
      </c>
      <c r="B17" s="1">
        <v>21.67</v>
      </c>
      <c r="C17" s="1">
        <v>1.08</v>
      </c>
    </row>
    <row r="18" spans="1:3" x14ac:dyDescent="0.2">
      <c r="A18" s="1">
        <v>24</v>
      </c>
      <c r="B18" s="1">
        <v>21.82</v>
      </c>
      <c r="C18" s="1">
        <v>0.91</v>
      </c>
    </row>
    <row r="19" spans="1:3" x14ac:dyDescent="0.2">
      <c r="A19" s="1">
        <v>28</v>
      </c>
      <c r="B19" s="1">
        <v>21.94</v>
      </c>
      <c r="C19" s="1">
        <v>0.78</v>
      </c>
    </row>
    <row r="20" spans="1:3" x14ac:dyDescent="0.2">
      <c r="A20" s="1">
        <v>33</v>
      </c>
      <c r="B20" s="1">
        <v>21.98</v>
      </c>
      <c r="C20" s="1">
        <v>0.67</v>
      </c>
    </row>
    <row r="21" spans="1:3" x14ac:dyDescent="0.2">
      <c r="A21" s="1">
        <v>40</v>
      </c>
      <c r="B21" s="1">
        <v>22.03</v>
      </c>
      <c r="C21" s="1">
        <v>0.55000000000000004</v>
      </c>
    </row>
    <row r="22" spans="1:3" x14ac:dyDescent="0.2">
      <c r="A22" s="1">
        <v>45</v>
      </c>
      <c r="B22" s="1">
        <v>22.12</v>
      </c>
      <c r="C22" s="1">
        <v>0.49</v>
      </c>
    </row>
    <row r="23" spans="1:3" x14ac:dyDescent="0.2">
      <c r="A23" s="1">
        <v>50</v>
      </c>
      <c r="B23" s="1">
        <v>22.2</v>
      </c>
      <c r="C23" s="1">
        <v>0.44</v>
      </c>
    </row>
    <row r="24" spans="1:3" x14ac:dyDescent="0.2">
      <c r="A24" s="1">
        <v>55</v>
      </c>
      <c r="B24" s="1">
        <v>22.23</v>
      </c>
      <c r="C24" s="1">
        <v>0.4</v>
      </c>
    </row>
    <row r="25" spans="1:3" x14ac:dyDescent="0.2">
      <c r="A25" s="1">
        <v>60</v>
      </c>
      <c r="B25" s="1">
        <v>22.32</v>
      </c>
      <c r="C25" s="1">
        <v>0.37</v>
      </c>
    </row>
    <row r="26" spans="1:3" x14ac:dyDescent="0.2">
      <c r="A26" s="1">
        <v>70</v>
      </c>
      <c r="B26" s="1">
        <v>22.37</v>
      </c>
      <c r="C26" s="1">
        <v>0.32</v>
      </c>
    </row>
    <row r="27" spans="1:3" x14ac:dyDescent="0.2">
      <c r="A27" s="1">
        <v>100</v>
      </c>
      <c r="B27" s="1">
        <v>22.37</v>
      </c>
      <c r="C27" s="1">
        <v>0.22</v>
      </c>
    </row>
    <row r="28" spans="1:3" x14ac:dyDescent="0.2">
      <c r="A28" s="1">
        <v>110</v>
      </c>
      <c r="B28" s="1">
        <v>22.36</v>
      </c>
      <c r="C28" s="1">
        <v>0.2</v>
      </c>
    </row>
    <row r="29" spans="1:3" x14ac:dyDescent="0.2">
      <c r="A29" s="1">
        <v>160</v>
      </c>
      <c r="B29" s="1">
        <v>22.31</v>
      </c>
      <c r="C29" s="1">
        <v>0.14000000000000001</v>
      </c>
    </row>
    <row r="30" spans="1:3" x14ac:dyDescent="0.2">
      <c r="A30" s="1">
        <v>200</v>
      </c>
      <c r="B30" s="1">
        <v>22.46</v>
      </c>
      <c r="C30" s="1">
        <v>0.11</v>
      </c>
    </row>
    <row r="31" spans="1:3" x14ac:dyDescent="0.2">
      <c r="A31" s="1">
        <v>300</v>
      </c>
      <c r="B31" s="1">
        <v>22.39</v>
      </c>
      <c r="C31" s="1">
        <v>7.0000000000000007E-2</v>
      </c>
    </row>
    <row r="32" spans="1:3" x14ac:dyDescent="0.2">
      <c r="A32" s="1">
        <v>400</v>
      </c>
      <c r="B32" s="1">
        <v>22.51</v>
      </c>
      <c r="C32" s="1">
        <v>0.06</v>
      </c>
    </row>
    <row r="33" spans="1:3" x14ac:dyDescent="0.2">
      <c r="A33" s="1" t="s">
        <v>3</v>
      </c>
      <c r="B33" s="1">
        <v>22.7</v>
      </c>
      <c r="C33" s="1">
        <v>0</v>
      </c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C49B-9335-8B4B-945A-DA26D81DF043}">
  <dimension ref="A1:V48"/>
  <sheetViews>
    <sheetView workbookViewId="0">
      <selection activeCell="E14" sqref="E14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9.24</v>
      </c>
      <c r="C2" s="1">
        <v>4.59</v>
      </c>
    </row>
    <row r="3" spans="1:3" x14ac:dyDescent="0.2">
      <c r="A3" s="1">
        <v>2.5</v>
      </c>
      <c r="B3" s="1">
        <v>11.52</v>
      </c>
      <c r="C3" s="1">
        <v>4.58</v>
      </c>
    </row>
    <row r="4" spans="1:3" x14ac:dyDescent="0.2">
      <c r="A4" s="1">
        <v>3</v>
      </c>
      <c r="B4" s="1">
        <v>13.8</v>
      </c>
      <c r="C4" s="1">
        <v>4.58</v>
      </c>
    </row>
    <row r="5" spans="1:3" x14ac:dyDescent="0.2">
      <c r="A5" s="1">
        <v>3.5</v>
      </c>
      <c r="B5" s="1">
        <v>15.6</v>
      </c>
      <c r="C5" s="1">
        <v>4.45</v>
      </c>
    </row>
    <row r="6" spans="1:3" x14ac:dyDescent="0.2">
      <c r="A6" s="1">
        <v>4</v>
      </c>
      <c r="B6" s="1">
        <v>16.920000000000002</v>
      </c>
      <c r="C6" s="1">
        <v>4.22</v>
      </c>
    </row>
    <row r="7" spans="1:3" x14ac:dyDescent="0.2">
      <c r="A7" s="1">
        <v>4.5</v>
      </c>
      <c r="B7" s="1">
        <v>17.79</v>
      </c>
      <c r="C7" s="1">
        <v>3.95</v>
      </c>
    </row>
    <row r="8" spans="1:3" x14ac:dyDescent="0.2">
      <c r="A8" s="1">
        <v>5</v>
      </c>
      <c r="B8" s="1">
        <v>18.41</v>
      </c>
      <c r="C8" s="1">
        <v>3.68</v>
      </c>
    </row>
    <row r="9" spans="1:3" x14ac:dyDescent="0.2">
      <c r="A9" s="1">
        <v>5.5</v>
      </c>
      <c r="B9" s="1">
        <v>18.86</v>
      </c>
      <c r="C9" s="1">
        <v>3.43</v>
      </c>
    </row>
    <row r="10" spans="1:3" x14ac:dyDescent="0.2">
      <c r="A10" s="1">
        <v>6</v>
      </c>
      <c r="B10" s="1">
        <v>19.2</v>
      </c>
      <c r="C10" s="1">
        <v>3.2</v>
      </c>
    </row>
    <row r="11" spans="1:3" x14ac:dyDescent="0.2">
      <c r="A11" s="1">
        <v>6.5</v>
      </c>
      <c r="B11" s="1">
        <v>19.48</v>
      </c>
      <c r="C11" s="1">
        <v>3</v>
      </c>
    </row>
    <row r="12" spans="1:3" x14ac:dyDescent="0.2">
      <c r="A12" s="1">
        <v>7</v>
      </c>
      <c r="B12" s="1">
        <v>19.72</v>
      </c>
      <c r="C12" s="1">
        <v>2.82</v>
      </c>
    </row>
    <row r="13" spans="1:3" x14ac:dyDescent="0.2">
      <c r="A13" s="1">
        <v>7.5</v>
      </c>
      <c r="B13" s="1">
        <v>20.09</v>
      </c>
      <c r="C13" s="1">
        <v>2.5099999999999998</v>
      </c>
    </row>
    <row r="14" spans="1:3" x14ac:dyDescent="0.2">
      <c r="A14" s="1">
        <v>8.5</v>
      </c>
      <c r="B14" s="1">
        <v>20.239999999999998</v>
      </c>
      <c r="C14" s="1">
        <v>2.38</v>
      </c>
    </row>
    <row r="15" spans="1:3" x14ac:dyDescent="0.2">
      <c r="A15" s="1">
        <v>9</v>
      </c>
      <c r="B15" s="1">
        <v>20.39</v>
      </c>
      <c r="C15" s="1">
        <v>2.27</v>
      </c>
    </row>
    <row r="16" spans="1:3" x14ac:dyDescent="0.2">
      <c r="A16" s="1">
        <v>9.5</v>
      </c>
      <c r="B16" s="1">
        <v>20.51</v>
      </c>
      <c r="C16" s="1">
        <v>2.16</v>
      </c>
    </row>
    <row r="17" spans="1:3" x14ac:dyDescent="0.2">
      <c r="A17" s="1">
        <v>10</v>
      </c>
      <c r="B17" s="1">
        <v>20.62</v>
      </c>
      <c r="C17" s="1">
        <v>2.06</v>
      </c>
    </row>
    <row r="18" spans="1:3" x14ac:dyDescent="0.2">
      <c r="A18" s="1">
        <v>11</v>
      </c>
      <c r="B18" s="1">
        <v>20.8</v>
      </c>
      <c r="C18" s="1">
        <v>1.89</v>
      </c>
    </row>
    <row r="19" spans="1:3" x14ac:dyDescent="0.2">
      <c r="A19" s="1">
        <v>12</v>
      </c>
      <c r="B19" s="1">
        <v>20.95</v>
      </c>
      <c r="C19" s="1">
        <v>1.75</v>
      </c>
    </row>
    <row r="20" spans="1:3" x14ac:dyDescent="0.2">
      <c r="A20" s="1">
        <v>13</v>
      </c>
      <c r="B20" s="1">
        <v>21.07</v>
      </c>
      <c r="C20" s="1">
        <v>1.62</v>
      </c>
    </row>
    <row r="21" spans="1:3" x14ac:dyDescent="0.2">
      <c r="A21" s="1">
        <v>20</v>
      </c>
      <c r="B21" s="1">
        <v>21.57</v>
      </c>
      <c r="C21" s="1">
        <v>1.08</v>
      </c>
    </row>
    <row r="22" spans="1:3" x14ac:dyDescent="0.2">
      <c r="A22" s="1">
        <v>30</v>
      </c>
      <c r="B22" s="1">
        <v>21.87</v>
      </c>
      <c r="C22" s="1">
        <v>0.78</v>
      </c>
    </row>
    <row r="23" spans="1:3" x14ac:dyDescent="0.2">
      <c r="A23" s="1">
        <v>40</v>
      </c>
      <c r="B23" s="1">
        <v>22.01</v>
      </c>
      <c r="C23" s="1">
        <v>0.55000000000000004</v>
      </c>
    </row>
    <row r="24" spans="1:3" x14ac:dyDescent="0.2">
      <c r="A24" s="1">
        <v>50</v>
      </c>
      <c r="B24" s="1">
        <v>22.1</v>
      </c>
      <c r="C24" s="1">
        <v>0.44</v>
      </c>
    </row>
    <row r="25" spans="1:3" x14ac:dyDescent="0.2">
      <c r="A25" s="1">
        <v>60</v>
      </c>
      <c r="B25" s="1">
        <v>22.17</v>
      </c>
      <c r="C25" s="1">
        <v>0.37</v>
      </c>
    </row>
    <row r="26" spans="1:3" x14ac:dyDescent="0.2">
      <c r="A26" s="1">
        <v>70</v>
      </c>
      <c r="B26" s="1">
        <v>22.2</v>
      </c>
      <c r="C26" s="1">
        <v>0.32</v>
      </c>
    </row>
    <row r="27" spans="1:3" x14ac:dyDescent="0.2">
      <c r="A27" s="1">
        <v>100</v>
      </c>
      <c r="B27" s="1">
        <v>22.28</v>
      </c>
      <c r="C27" s="1">
        <v>0.22</v>
      </c>
    </row>
    <row r="28" spans="1:3" x14ac:dyDescent="0.2">
      <c r="A28" s="1">
        <v>200</v>
      </c>
      <c r="B28" s="1">
        <v>22.38</v>
      </c>
      <c r="C28" s="1">
        <v>0.11</v>
      </c>
    </row>
    <row r="29" spans="1:3" x14ac:dyDescent="0.2">
      <c r="A29" s="1">
        <v>300</v>
      </c>
      <c r="B29" s="1">
        <v>22.39</v>
      </c>
      <c r="C29" s="1">
        <v>7.0000000000000007E-2</v>
      </c>
    </row>
    <row r="30" spans="1:3" x14ac:dyDescent="0.2">
      <c r="A30" s="1">
        <v>400</v>
      </c>
      <c r="B30" s="1">
        <v>22.4</v>
      </c>
      <c r="C30" s="1">
        <v>0.06</v>
      </c>
    </row>
    <row r="31" spans="1:3" x14ac:dyDescent="0.2">
      <c r="A31" t="s">
        <v>3</v>
      </c>
      <c r="B31" s="1">
        <v>22.45</v>
      </c>
      <c r="C31" s="1">
        <v>0</v>
      </c>
    </row>
    <row r="38" spans="8:22" x14ac:dyDescent="0.2">
      <c r="H38" s="22" t="s">
        <v>4</v>
      </c>
      <c r="I38" s="23"/>
      <c r="J38" s="23"/>
      <c r="K38" s="23"/>
      <c r="P38" s="22" t="s">
        <v>5</v>
      </c>
      <c r="Q38" s="23"/>
      <c r="R38" s="23"/>
      <c r="S38" s="23"/>
    </row>
    <row r="39" spans="8:22" x14ac:dyDescent="0.2">
      <c r="H39" s="2" t="s">
        <v>6</v>
      </c>
      <c r="I39" s="2" t="s">
        <v>7</v>
      </c>
      <c r="J39" s="2" t="s">
        <v>8</v>
      </c>
      <c r="K39" s="2" t="s">
        <v>9</v>
      </c>
      <c r="M39" s="24" t="s">
        <v>10</v>
      </c>
      <c r="N39" s="23"/>
      <c r="P39" s="2" t="s">
        <v>6</v>
      </c>
      <c r="Q39" s="2" t="s">
        <v>7</v>
      </c>
      <c r="R39" s="2" t="s">
        <v>8</v>
      </c>
      <c r="S39" s="2" t="s">
        <v>9</v>
      </c>
      <c r="U39" s="24" t="s">
        <v>10</v>
      </c>
      <c r="V39" s="23"/>
    </row>
    <row r="40" spans="8:22" x14ac:dyDescent="0.2">
      <c r="H40" s="3" t="s">
        <v>11</v>
      </c>
      <c r="I40" s="4">
        <v>47.6</v>
      </c>
      <c r="J40" s="4">
        <v>49</v>
      </c>
      <c r="K40" s="4">
        <v>46.1</v>
      </c>
      <c r="M40" s="3" t="s">
        <v>12</v>
      </c>
      <c r="N40" s="5">
        <f>AVERAGE(I40:K42)</f>
        <v>47.111111111111114</v>
      </c>
      <c r="P40" s="3" t="s">
        <v>11</v>
      </c>
      <c r="Q40" s="4">
        <v>854.8</v>
      </c>
      <c r="R40" s="4">
        <v>862.7</v>
      </c>
      <c r="S40" s="4">
        <v>807.2</v>
      </c>
      <c r="U40" s="3" t="s">
        <v>12</v>
      </c>
      <c r="V40" s="5">
        <f>AVERAGE(Q40:S42)</f>
        <v>848.37777777777774</v>
      </c>
    </row>
    <row r="41" spans="8:22" x14ac:dyDescent="0.2">
      <c r="H41" s="3" t="s">
        <v>13</v>
      </c>
      <c r="I41" s="4">
        <v>48.2</v>
      </c>
      <c r="J41" s="4">
        <v>49.5</v>
      </c>
      <c r="K41" s="4">
        <v>47</v>
      </c>
      <c r="M41" s="3" t="s">
        <v>14</v>
      </c>
      <c r="N41" s="5">
        <f>MIN(I40:K42)</f>
        <v>45</v>
      </c>
      <c r="P41" s="3" t="s">
        <v>13</v>
      </c>
      <c r="Q41" s="4">
        <v>868.7</v>
      </c>
      <c r="R41" s="4">
        <v>853</v>
      </c>
      <c r="S41" s="4">
        <v>814.7</v>
      </c>
      <c r="U41" s="3" t="s">
        <v>14</v>
      </c>
      <c r="V41" s="5">
        <f>MIN(Q40:S42)</f>
        <v>807.2</v>
      </c>
    </row>
    <row r="42" spans="8:22" x14ac:dyDescent="0.2">
      <c r="H42" s="3" t="s">
        <v>15</v>
      </c>
      <c r="I42" s="4">
        <v>45.6</v>
      </c>
      <c r="J42" s="4">
        <v>45</v>
      </c>
      <c r="K42" s="4">
        <v>46</v>
      </c>
      <c r="M42" s="3" t="s">
        <v>16</v>
      </c>
      <c r="N42" s="5">
        <f>MAX(I40:K42)</f>
        <v>49.5</v>
      </c>
      <c r="P42" s="3" t="s">
        <v>15</v>
      </c>
      <c r="Q42" s="4">
        <v>872.6</v>
      </c>
      <c r="R42" s="4">
        <v>838.3</v>
      </c>
      <c r="S42" s="4">
        <v>863.4</v>
      </c>
      <c r="U42" s="3" t="s">
        <v>16</v>
      </c>
      <c r="V42" s="5">
        <f>MAX(Q40:S42)</f>
        <v>872.6</v>
      </c>
    </row>
    <row r="43" spans="8:22" x14ac:dyDescent="0.2">
      <c r="M43" s="3" t="s">
        <v>17</v>
      </c>
      <c r="N43" s="5">
        <f>N42-N41</f>
        <v>4.5</v>
      </c>
      <c r="U43" s="3" t="s">
        <v>17</v>
      </c>
      <c r="V43" s="5">
        <f>V42-V41</f>
        <v>65.399999999999977</v>
      </c>
    </row>
    <row r="44" spans="8:22" x14ac:dyDescent="0.2">
      <c r="H44" s="6" t="s">
        <v>18</v>
      </c>
      <c r="M44" s="7" t="s">
        <v>19</v>
      </c>
      <c r="N44" s="8">
        <f>_xlfn.STDEV.S(I40:K42)</f>
        <v>1.5695894721585997</v>
      </c>
      <c r="U44" s="7" t="s">
        <v>20</v>
      </c>
      <c r="V44" s="8">
        <f>((MAX(Q40:S42)-MIN(Q40:S42))/(MAX(Q40:S42)+MIN(Q40:S42)))*100</f>
        <v>3.8933206334087376</v>
      </c>
    </row>
    <row r="45" spans="8:22" x14ac:dyDescent="0.2">
      <c r="H45" s="9" t="s">
        <v>21</v>
      </c>
      <c r="J45" s="25" t="s">
        <v>22</v>
      </c>
      <c r="K45" s="26"/>
      <c r="L45" s="26"/>
      <c r="M45" s="26"/>
      <c r="N45" s="26"/>
    </row>
    <row r="46" spans="8:22" x14ac:dyDescent="0.2">
      <c r="H46" s="9" t="s">
        <v>23</v>
      </c>
      <c r="J46" s="25"/>
      <c r="K46" s="26"/>
      <c r="L46" s="26"/>
      <c r="M46" s="26"/>
      <c r="N46" s="26"/>
    </row>
    <row r="47" spans="8:22" x14ac:dyDescent="0.2">
      <c r="H47" s="9" t="s">
        <v>24</v>
      </c>
      <c r="J47" s="25"/>
      <c r="K47" s="26"/>
      <c r="L47" s="26"/>
      <c r="M47" s="26"/>
      <c r="N47" s="26"/>
    </row>
    <row r="48" spans="8:22" x14ac:dyDescent="0.2">
      <c r="H48" s="9" t="s">
        <v>25</v>
      </c>
      <c r="J48" s="25" t="s">
        <v>26</v>
      </c>
      <c r="K48" s="26"/>
      <c r="L48" s="26"/>
      <c r="M48" s="26"/>
      <c r="N48" s="26"/>
    </row>
  </sheetData>
  <mergeCells count="8">
    <mergeCell ref="J46:N46"/>
    <mergeCell ref="J47:N47"/>
    <mergeCell ref="J48:N48"/>
    <mergeCell ref="H38:K38"/>
    <mergeCell ref="P38:S38"/>
    <mergeCell ref="M39:N39"/>
    <mergeCell ref="U39:V39"/>
    <mergeCell ref="J45:N4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10F5-799D-154B-9C83-7D829E8BFE45}">
  <dimension ref="A1:S48"/>
  <sheetViews>
    <sheetView workbookViewId="0">
      <selection activeCell="H31" sqref="H3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0.24</v>
      </c>
      <c r="C2" s="1">
        <v>0.11</v>
      </c>
    </row>
    <row r="3" spans="1:3" x14ac:dyDescent="0.2">
      <c r="A3" s="1">
        <v>2.5</v>
      </c>
      <c r="B3" s="1">
        <v>0.3</v>
      </c>
      <c r="C3" s="1">
        <v>0.11</v>
      </c>
    </row>
    <row r="4" spans="1:3" x14ac:dyDescent="0.2">
      <c r="A4" s="1">
        <v>3</v>
      </c>
      <c r="B4" s="1">
        <v>0.36</v>
      </c>
      <c r="C4" s="1">
        <v>0.11</v>
      </c>
    </row>
    <row r="5" spans="1:3" x14ac:dyDescent="0.2">
      <c r="A5" s="1">
        <v>4</v>
      </c>
      <c r="B5" s="1">
        <v>0.47</v>
      </c>
      <c r="C5" s="1">
        <v>0.11</v>
      </c>
    </row>
    <row r="6" spans="1:3" x14ac:dyDescent="0.2">
      <c r="A6" s="1">
        <v>5</v>
      </c>
      <c r="B6" s="1">
        <v>0.53</v>
      </c>
      <c r="C6" s="1">
        <v>0.11</v>
      </c>
    </row>
    <row r="7" spans="1:3" x14ac:dyDescent="0.2">
      <c r="A7" s="1">
        <v>6</v>
      </c>
      <c r="B7" s="1">
        <v>0.7</v>
      </c>
      <c r="C7" s="1">
        <v>0.11</v>
      </c>
    </row>
    <row r="8" spans="1:3" x14ac:dyDescent="0.2">
      <c r="A8" s="1">
        <v>7</v>
      </c>
      <c r="B8" s="1">
        <v>0.81</v>
      </c>
      <c r="C8" s="1">
        <v>0.11</v>
      </c>
    </row>
    <row r="9" spans="1:3" x14ac:dyDescent="0.2">
      <c r="A9" s="1">
        <v>8</v>
      </c>
      <c r="B9" s="1">
        <v>0.92</v>
      </c>
      <c r="C9" s="1">
        <v>0.11</v>
      </c>
    </row>
    <row r="10" spans="1:3" x14ac:dyDescent="0.2">
      <c r="A10" s="1">
        <v>9</v>
      </c>
      <c r="B10" s="1">
        <v>1.03</v>
      </c>
      <c r="C10" s="1">
        <v>0.11</v>
      </c>
    </row>
    <row r="11" spans="1:3" x14ac:dyDescent="0.2">
      <c r="A11" s="1">
        <v>10</v>
      </c>
      <c r="B11" s="1">
        <v>1.1399999999999999</v>
      </c>
      <c r="C11" s="1">
        <v>0.11</v>
      </c>
    </row>
    <row r="12" spans="1:3" x14ac:dyDescent="0.2">
      <c r="A12" s="1">
        <v>11</v>
      </c>
      <c r="B12" s="1">
        <v>1.25</v>
      </c>
      <c r="C12" s="1">
        <v>0.11</v>
      </c>
    </row>
    <row r="13" spans="1:3" x14ac:dyDescent="0.2">
      <c r="A13" s="1">
        <v>12</v>
      </c>
      <c r="B13" s="1">
        <v>1.35</v>
      </c>
      <c r="C13" s="1">
        <v>0.11</v>
      </c>
    </row>
    <row r="14" spans="1:3" x14ac:dyDescent="0.2">
      <c r="A14" s="1">
        <v>13</v>
      </c>
      <c r="B14" s="1">
        <v>1.47</v>
      </c>
      <c r="C14" s="1">
        <v>0.11</v>
      </c>
    </row>
    <row r="15" spans="1:3" x14ac:dyDescent="0.2">
      <c r="A15" s="1">
        <v>20</v>
      </c>
      <c r="B15" s="1">
        <v>2.19</v>
      </c>
      <c r="C15" s="1">
        <v>0.11</v>
      </c>
    </row>
    <row r="16" spans="1:3" x14ac:dyDescent="0.2">
      <c r="A16" s="1">
        <v>30</v>
      </c>
      <c r="B16" s="1">
        <v>3.19</v>
      </c>
      <c r="C16" s="1">
        <v>0.1</v>
      </c>
    </row>
    <row r="17" spans="1:5" x14ac:dyDescent="0.2">
      <c r="A17" s="1">
        <v>40</v>
      </c>
      <c r="B17" s="1">
        <v>4.1399999999999997</v>
      </c>
      <c r="C17" s="1">
        <v>0.1</v>
      </c>
    </row>
    <row r="18" spans="1:5" x14ac:dyDescent="0.2">
      <c r="A18" s="1">
        <v>50</v>
      </c>
      <c r="B18" s="1">
        <v>5.04</v>
      </c>
      <c r="C18" s="1">
        <v>0.1</v>
      </c>
    </row>
    <row r="19" spans="1:5" x14ac:dyDescent="0.2">
      <c r="A19" s="1">
        <v>60</v>
      </c>
      <c r="B19" s="1">
        <v>5.93</v>
      </c>
      <c r="C19" s="1">
        <v>0.1</v>
      </c>
    </row>
    <row r="20" spans="1:5" x14ac:dyDescent="0.2">
      <c r="A20" s="1">
        <v>70</v>
      </c>
      <c r="B20" s="1">
        <v>6.79</v>
      </c>
      <c r="C20" s="1">
        <v>0.1</v>
      </c>
    </row>
    <row r="21" spans="1:5" x14ac:dyDescent="0.2">
      <c r="A21" s="1">
        <v>100</v>
      </c>
      <c r="B21" s="1">
        <v>9.2100000000000009</v>
      </c>
      <c r="C21" s="1">
        <v>0.09</v>
      </c>
    </row>
    <row r="22" spans="1:5" x14ac:dyDescent="0.2">
      <c r="A22" s="1">
        <v>120</v>
      </c>
      <c r="B22" s="1">
        <v>10.77</v>
      </c>
      <c r="C22" s="1">
        <v>0.09</v>
      </c>
    </row>
    <row r="23" spans="1:5" x14ac:dyDescent="0.2">
      <c r="A23" s="1">
        <v>150</v>
      </c>
      <c r="B23" s="1">
        <v>12.82</v>
      </c>
      <c r="C23" s="1">
        <v>0.09</v>
      </c>
    </row>
    <row r="24" spans="1:5" x14ac:dyDescent="0.2">
      <c r="A24" s="1">
        <v>180</v>
      </c>
      <c r="B24" s="1">
        <v>14.67</v>
      </c>
      <c r="C24" s="1">
        <v>0.08</v>
      </c>
    </row>
    <row r="25" spans="1:5" x14ac:dyDescent="0.2">
      <c r="A25" s="1">
        <v>200</v>
      </c>
      <c r="B25" s="1">
        <v>15.61</v>
      </c>
      <c r="C25" s="1">
        <v>0.08</v>
      </c>
    </row>
    <row r="26" spans="1:5" x14ac:dyDescent="0.2">
      <c r="A26" s="1">
        <v>250</v>
      </c>
      <c r="B26" s="1">
        <v>21.32</v>
      </c>
      <c r="C26" s="1">
        <v>0.08</v>
      </c>
    </row>
    <row r="27" spans="1:5" x14ac:dyDescent="0.2">
      <c r="A27" s="1">
        <v>300</v>
      </c>
      <c r="B27" s="1">
        <v>22</v>
      </c>
      <c r="C27" s="1">
        <v>7.0000000000000007E-2</v>
      </c>
    </row>
    <row r="28" spans="1:5" x14ac:dyDescent="0.2">
      <c r="A28" s="1">
        <v>400</v>
      </c>
      <c r="B28" s="1">
        <v>22.08</v>
      </c>
      <c r="C28" s="1">
        <v>0.05</v>
      </c>
    </row>
    <row r="29" spans="1:5" x14ac:dyDescent="0.2">
      <c r="A29" t="s">
        <v>3</v>
      </c>
      <c r="B29" s="1">
        <v>22.2</v>
      </c>
      <c r="C29" s="1">
        <v>0</v>
      </c>
      <c r="E29" t="s">
        <v>27</v>
      </c>
    </row>
    <row r="38" spans="8:19" x14ac:dyDescent="0.2">
      <c r="H38" s="22" t="s">
        <v>4</v>
      </c>
      <c r="I38" s="23"/>
      <c r="J38" s="23"/>
      <c r="K38" s="23"/>
      <c r="P38" s="22" t="s">
        <v>5</v>
      </c>
      <c r="Q38" s="23"/>
      <c r="R38" s="23"/>
      <c r="S38" s="23"/>
    </row>
    <row r="39" spans="8:19" x14ac:dyDescent="0.2">
      <c r="H39" s="2" t="s">
        <v>6</v>
      </c>
      <c r="I39" s="2" t="s">
        <v>7</v>
      </c>
      <c r="J39" s="2" t="s">
        <v>8</v>
      </c>
      <c r="K39" s="2" t="s">
        <v>9</v>
      </c>
      <c r="M39" s="24" t="s">
        <v>10</v>
      </c>
      <c r="N39" s="23"/>
      <c r="P39" s="2" t="s">
        <v>6</v>
      </c>
      <c r="Q39" s="2" t="s">
        <v>7</v>
      </c>
      <c r="R39" s="2" t="s">
        <v>8</v>
      </c>
      <c r="S39" s="2" t="s">
        <v>9</v>
      </c>
    </row>
    <row r="40" spans="8:19" x14ac:dyDescent="0.2">
      <c r="H40" s="3" t="s">
        <v>11</v>
      </c>
      <c r="I40" s="4"/>
      <c r="J40" s="4"/>
      <c r="K40" s="4"/>
      <c r="M40" s="3" t="s">
        <v>12</v>
      </c>
      <c r="N40" s="5" t="e">
        <f>AVERAGE(I40:K42)</f>
        <v>#DIV/0!</v>
      </c>
      <c r="P40" s="3" t="s">
        <v>11</v>
      </c>
      <c r="Q40" s="4"/>
      <c r="R40" s="4"/>
      <c r="S40" s="4"/>
    </row>
    <row r="41" spans="8:19" x14ac:dyDescent="0.2">
      <c r="H41" s="3" t="s">
        <v>13</v>
      </c>
      <c r="I41" s="4"/>
      <c r="J41" s="4"/>
      <c r="K41" s="4"/>
      <c r="M41" s="3" t="s">
        <v>14</v>
      </c>
      <c r="N41" s="5">
        <f>MIN(I40:K42)</f>
        <v>0</v>
      </c>
      <c r="P41" s="3" t="s">
        <v>13</v>
      </c>
      <c r="Q41" s="4"/>
      <c r="R41" s="4"/>
      <c r="S41" s="4"/>
    </row>
    <row r="42" spans="8:19" x14ac:dyDescent="0.2">
      <c r="H42" s="3" t="s">
        <v>15</v>
      </c>
      <c r="I42" s="4"/>
      <c r="J42" s="4"/>
      <c r="K42" s="4"/>
      <c r="M42" s="3" t="s">
        <v>16</v>
      </c>
      <c r="N42" s="5">
        <f>MAX(I40:K42)</f>
        <v>0</v>
      </c>
      <c r="P42" s="3" t="s">
        <v>15</v>
      </c>
      <c r="Q42" s="4"/>
      <c r="R42" s="4"/>
      <c r="S42" s="4"/>
    </row>
    <row r="43" spans="8:19" x14ac:dyDescent="0.2">
      <c r="M43" s="3" t="s">
        <v>17</v>
      </c>
      <c r="N43" s="5">
        <f>N42-N41</f>
        <v>0</v>
      </c>
    </row>
    <row r="44" spans="8:19" x14ac:dyDescent="0.2">
      <c r="H44" s="6" t="s">
        <v>18</v>
      </c>
      <c r="M44" s="7" t="s">
        <v>19</v>
      </c>
      <c r="N44" s="8" t="e">
        <f>_xlfn.STDEV.S(I40:K42)</f>
        <v>#DIV/0!</v>
      </c>
    </row>
    <row r="45" spans="8:19" x14ac:dyDescent="0.2">
      <c r="H45" s="9" t="s">
        <v>21</v>
      </c>
      <c r="J45" s="25" t="s">
        <v>22</v>
      </c>
      <c r="K45" s="26"/>
      <c r="L45" s="26"/>
      <c r="M45" s="26"/>
      <c r="N45" s="26"/>
    </row>
    <row r="46" spans="8:19" x14ac:dyDescent="0.2">
      <c r="H46" s="9" t="s">
        <v>23</v>
      </c>
      <c r="J46" s="25"/>
      <c r="K46" s="26"/>
      <c r="L46" s="26"/>
      <c r="M46" s="26"/>
      <c r="N46" s="26"/>
    </row>
    <row r="47" spans="8:19" x14ac:dyDescent="0.2">
      <c r="H47" s="9" t="s">
        <v>24</v>
      </c>
      <c r="J47" s="25"/>
      <c r="K47" s="26"/>
      <c r="L47" s="26"/>
      <c r="M47" s="26"/>
      <c r="N47" s="26"/>
    </row>
    <row r="48" spans="8:19" x14ac:dyDescent="0.2">
      <c r="H48" s="9" t="s">
        <v>25</v>
      </c>
      <c r="J48" s="25" t="s">
        <v>26</v>
      </c>
      <c r="K48" s="26"/>
      <c r="L48" s="26"/>
      <c r="M48" s="26"/>
      <c r="N48" s="26"/>
    </row>
  </sheetData>
  <mergeCells count="7">
    <mergeCell ref="J48:N48"/>
    <mergeCell ref="H38:K38"/>
    <mergeCell ref="P38:S38"/>
    <mergeCell ref="M39:N39"/>
    <mergeCell ref="J45:N45"/>
    <mergeCell ref="J46:N46"/>
    <mergeCell ref="J47:N4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49A2-F719-C546-8794-D3922CBE13B5}">
  <dimension ref="A1:C36"/>
  <sheetViews>
    <sheetView topLeftCell="A8" workbookViewId="0">
      <selection activeCell="H27" sqref="H27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2.58</v>
      </c>
      <c r="C2" s="1">
        <v>1.28</v>
      </c>
    </row>
    <row r="3" spans="1:3" x14ac:dyDescent="0.2">
      <c r="A3" s="1">
        <v>2.5</v>
      </c>
      <c r="B3" s="1">
        <v>3.22</v>
      </c>
      <c r="C3" s="1">
        <v>1.28</v>
      </c>
    </row>
    <row r="4" spans="1:3" x14ac:dyDescent="0.2">
      <c r="A4" s="1">
        <v>3</v>
      </c>
      <c r="B4" s="1">
        <v>3.85</v>
      </c>
      <c r="C4" s="1">
        <v>1.27</v>
      </c>
    </row>
    <row r="5" spans="1:3" x14ac:dyDescent="0.2">
      <c r="A5" s="1">
        <v>4</v>
      </c>
      <c r="B5" s="1">
        <v>5.08</v>
      </c>
      <c r="C5" s="1">
        <v>1.27</v>
      </c>
    </row>
    <row r="6" spans="1:3" x14ac:dyDescent="0.2">
      <c r="A6" s="1">
        <v>5</v>
      </c>
      <c r="B6" s="1">
        <v>6.31</v>
      </c>
      <c r="C6" s="1">
        <v>1.26</v>
      </c>
    </row>
    <row r="7" spans="1:3" x14ac:dyDescent="0.2">
      <c r="A7" s="1">
        <v>6</v>
      </c>
      <c r="B7" s="1">
        <v>7.54</v>
      </c>
      <c r="C7" s="1">
        <v>1.25</v>
      </c>
    </row>
    <row r="8" spans="1:3" x14ac:dyDescent="0.2">
      <c r="A8" s="1">
        <v>7</v>
      </c>
      <c r="B8" s="1">
        <v>8.74</v>
      </c>
      <c r="C8" s="1">
        <v>1.25</v>
      </c>
    </row>
    <row r="9" spans="1:3" x14ac:dyDescent="0.2">
      <c r="A9" s="1">
        <v>8</v>
      </c>
      <c r="B9" s="1">
        <v>9.9700000000000006</v>
      </c>
      <c r="C9" s="1">
        <v>1.24</v>
      </c>
    </row>
    <row r="10" spans="1:3" x14ac:dyDescent="0.2">
      <c r="A10" s="1">
        <v>9</v>
      </c>
      <c r="B10" s="1">
        <v>11.15</v>
      </c>
      <c r="C10" s="1">
        <v>1.24</v>
      </c>
    </row>
    <row r="11" spans="1:3" x14ac:dyDescent="0.2">
      <c r="A11" s="1">
        <v>10</v>
      </c>
      <c r="B11" s="1">
        <v>12.25</v>
      </c>
      <c r="C11" s="1">
        <v>1.24</v>
      </c>
    </row>
    <row r="12" spans="1:3" x14ac:dyDescent="0.2">
      <c r="A12" s="1">
        <v>11</v>
      </c>
      <c r="B12" s="1">
        <v>13.53</v>
      </c>
      <c r="C12" s="1">
        <v>1.24</v>
      </c>
    </row>
    <row r="13" spans="1:3" x14ac:dyDescent="0.2">
      <c r="A13" s="1">
        <v>12</v>
      </c>
      <c r="B13" s="1">
        <v>15.73</v>
      </c>
      <c r="C13" s="1">
        <v>1.23</v>
      </c>
    </row>
    <row r="14" spans="1:3" x14ac:dyDescent="0.2">
      <c r="A14" s="1">
        <v>13</v>
      </c>
      <c r="B14" s="1">
        <v>15.91</v>
      </c>
      <c r="C14" s="1">
        <v>1.23</v>
      </c>
    </row>
    <row r="15" spans="1:3" x14ac:dyDescent="0.2">
      <c r="A15" s="1">
        <v>14</v>
      </c>
      <c r="B15" s="1">
        <v>17.190000000000001</v>
      </c>
      <c r="C15" s="1">
        <v>1.23</v>
      </c>
    </row>
    <row r="16" spans="1:3" x14ac:dyDescent="0.2">
      <c r="A16" s="1">
        <v>15</v>
      </c>
      <c r="B16" s="1">
        <v>18.579999999999998</v>
      </c>
      <c r="C16" s="1">
        <v>1.24</v>
      </c>
    </row>
    <row r="17" spans="1:3" x14ac:dyDescent="0.2">
      <c r="A17" s="1">
        <v>16</v>
      </c>
      <c r="B17" s="1">
        <v>20.059999999999999</v>
      </c>
      <c r="C17" s="1">
        <v>1.25</v>
      </c>
    </row>
    <row r="18" spans="1:3" x14ac:dyDescent="0.2">
      <c r="A18" s="1">
        <v>17</v>
      </c>
      <c r="B18" s="1">
        <v>21.02</v>
      </c>
      <c r="C18" s="1">
        <v>1.24</v>
      </c>
    </row>
    <row r="19" spans="1:3" x14ac:dyDescent="0.2">
      <c r="A19" s="1">
        <v>18</v>
      </c>
      <c r="B19" s="1">
        <v>21.14</v>
      </c>
      <c r="C19" s="1">
        <v>1.18</v>
      </c>
    </row>
    <row r="20" spans="1:3" x14ac:dyDescent="0.2">
      <c r="A20" s="1">
        <v>19</v>
      </c>
      <c r="B20" s="1">
        <v>21.25</v>
      </c>
      <c r="C20" s="1">
        <v>1.1200000000000001</v>
      </c>
    </row>
    <row r="21" spans="1:3" x14ac:dyDescent="0.2">
      <c r="A21" s="1">
        <v>20</v>
      </c>
      <c r="B21" s="1">
        <v>21.2</v>
      </c>
      <c r="C21" s="1">
        <v>1.07</v>
      </c>
    </row>
    <row r="22" spans="1:3" x14ac:dyDescent="0.2">
      <c r="A22" s="1">
        <v>25</v>
      </c>
      <c r="B22" s="1">
        <v>21.5</v>
      </c>
      <c r="C22" s="1">
        <v>0.86</v>
      </c>
    </row>
    <row r="23" spans="1:3" x14ac:dyDescent="0.2">
      <c r="A23" s="1">
        <v>30</v>
      </c>
      <c r="B23" s="1">
        <v>21.63</v>
      </c>
      <c r="C23" s="1">
        <v>0.72</v>
      </c>
    </row>
    <row r="24" spans="1:3" x14ac:dyDescent="0.2">
      <c r="A24" s="1">
        <v>40</v>
      </c>
      <c r="B24" s="1">
        <v>21.8</v>
      </c>
      <c r="C24" s="1">
        <v>0.55000000000000004</v>
      </c>
    </row>
    <row r="25" spans="1:3" x14ac:dyDescent="0.2">
      <c r="A25" s="1">
        <v>50</v>
      </c>
      <c r="B25" s="1">
        <v>21.89</v>
      </c>
      <c r="C25" s="1">
        <v>0.44</v>
      </c>
    </row>
    <row r="26" spans="1:3" x14ac:dyDescent="0.2">
      <c r="A26" s="1">
        <v>60</v>
      </c>
      <c r="B26" s="1">
        <v>21.94</v>
      </c>
      <c r="C26" s="1">
        <v>0.37</v>
      </c>
    </row>
    <row r="27" spans="1:3" x14ac:dyDescent="0.2">
      <c r="A27" s="1">
        <v>70</v>
      </c>
      <c r="B27" s="1">
        <v>22</v>
      </c>
      <c r="C27" s="1">
        <v>0.31</v>
      </c>
    </row>
    <row r="28" spans="1:3" x14ac:dyDescent="0.2">
      <c r="A28" s="1">
        <v>100</v>
      </c>
      <c r="B28" s="1">
        <v>22.08</v>
      </c>
      <c r="C28" s="1">
        <v>0.22</v>
      </c>
    </row>
    <row r="29" spans="1:3" x14ac:dyDescent="0.2">
      <c r="A29" s="1">
        <v>120</v>
      </c>
      <c r="B29" s="1">
        <v>22.12</v>
      </c>
      <c r="C29" s="1">
        <v>0.18</v>
      </c>
    </row>
    <row r="30" spans="1:3" x14ac:dyDescent="0.2">
      <c r="A30" s="1">
        <v>150</v>
      </c>
      <c r="B30" s="1">
        <v>22.15</v>
      </c>
      <c r="C30" s="1">
        <v>0.15</v>
      </c>
    </row>
    <row r="31" spans="1:3" x14ac:dyDescent="0.2">
      <c r="A31" s="1">
        <v>180</v>
      </c>
      <c r="B31" s="1">
        <v>22.17</v>
      </c>
      <c r="C31" s="1">
        <v>0.12</v>
      </c>
    </row>
    <row r="32" spans="1:3" x14ac:dyDescent="0.2">
      <c r="A32" s="1">
        <v>200</v>
      </c>
      <c r="B32" s="1">
        <v>22.18</v>
      </c>
      <c r="C32" s="1">
        <v>0.11</v>
      </c>
    </row>
    <row r="33" spans="1:3" x14ac:dyDescent="0.2">
      <c r="A33" s="1">
        <v>250</v>
      </c>
      <c r="B33" s="1">
        <v>22.19</v>
      </c>
      <c r="C33" s="1">
        <v>0.09</v>
      </c>
    </row>
    <row r="34" spans="1:3" x14ac:dyDescent="0.2">
      <c r="A34" s="1">
        <v>300</v>
      </c>
      <c r="B34" s="1">
        <v>22.2</v>
      </c>
      <c r="C34" s="1">
        <v>7.0000000000000007E-2</v>
      </c>
    </row>
    <row r="35" spans="1:3" x14ac:dyDescent="0.2">
      <c r="A35" s="1">
        <v>400</v>
      </c>
      <c r="B35" s="1">
        <v>22.21</v>
      </c>
      <c r="C35" s="1">
        <v>0.06</v>
      </c>
    </row>
    <row r="36" spans="1:3" x14ac:dyDescent="0.2">
      <c r="A36" t="s">
        <v>3</v>
      </c>
      <c r="B36" s="1">
        <v>22.26</v>
      </c>
      <c r="C36" s="1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22530-E3E2-E840-91DC-B073A7C71319}">
  <dimension ref="A1:C36"/>
  <sheetViews>
    <sheetView workbookViewId="0">
      <selection activeCell="N110" sqref="N110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2.5099999999999998</v>
      </c>
      <c r="C2" s="1">
        <v>1.24</v>
      </c>
    </row>
    <row r="3" spans="1:3" x14ac:dyDescent="0.2">
      <c r="A3" s="1">
        <v>2.5</v>
      </c>
      <c r="B3" s="1">
        <v>3.11</v>
      </c>
      <c r="C3" s="1">
        <v>1.24</v>
      </c>
    </row>
    <row r="4" spans="1:3" x14ac:dyDescent="0.2">
      <c r="A4" s="1">
        <v>3</v>
      </c>
      <c r="B4" s="1">
        <v>3.72</v>
      </c>
      <c r="C4" s="1">
        <v>1.23</v>
      </c>
    </row>
    <row r="5" spans="1:3" x14ac:dyDescent="0.2">
      <c r="A5" s="1">
        <v>4</v>
      </c>
      <c r="B5" s="1">
        <v>4.91</v>
      </c>
      <c r="C5" s="1">
        <v>1.22</v>
      </c>
    </row>
    <row r="6" spans="1:3" x14ac:dyDescent="0.2">
      <c r="A6" s="1">
        <v>5</v>
      </c>
      <c r="B6" s="1">
        <v>6.08</v>
      </c>
      <c r="C6" s="1">
        <v>1.22</v>
      </c>
    </row>
    <row r="7" spans="1:3" x14ac:dyDescent="0.2">
      <c r="A7" s="1">
        <v>6</v>
      </c>
      <c r="B7" s="1">
        <v>7.31</v>
      </c>
      <c r="C7" s="1">
        <v>1.22</v>
      </c>
    </row>
    <row r="8" spans="1:3" x14ac:dyDescent="0.2">
      <c r="A8" s="1">
        <v>7</v>
      </c>
      <c r="B8" s="1">
        <v>8.4600000000000009</v>
      </c>
      <c r="C8" s="1">
        <v>1.21</v>
      </c>
    </row>
    <row r="9" spans="1:3" x14ac:dyDescent="0.2">
      <c r="A9" s="1">
        <v>8</v>
      </c>
      <c r="B9" s="1">
        <v>9.6300000000000008</v>
      </c>
      <c r="C9" s="1">
        <v>1.2</v>
      </c>
    </row>
    <row r="10" spans="1:3" x14ac:dyDescent="0.2">
      <c r="A10" s="1">
        <v>9</v>
      </c>
      <c r="B10" s="1">
        <v>10.92</v>
      </c>
      <c r="C10" s="1">
        <v>1.2</v>
      </c>
    </row>
    <row r="11" spans="1:3" x14ac:dyDescent="0.2">
      <c r="A11" s="1">
        <v>10</v>
      </c>
      <c r="B11" s="1">
        <v>11.98</v>
      </c>
      <c r="C11" s="1">
        <v>1.2</v>
      </c>
    </row>
    <row r="12" spans="1:3" x14ac:dyDescent="0.2">
      <c r="A12" s="1">
        <v>11</v>
      </c>
      <c r="B12" s="1">
        <v>13.13</v>
      </c>
      <c r="C12" s="1">
        <v>1.2</v>
      </c>
    </row>
    <row r="13" spans="1:3" x14ac:dyDescent="0.2">
      <c r="A13" s="1">
        <v>12</v>
      </c>
      <c r="B13" s="1">
        <v>14.29</v>
      </c>
      <c r="C13" s="1">
        <v>1.19</v>
      </c>
    </row>
    <row r="14" spans="1:3" x14ac:dyDescent="0.2">
      <c r="A14" s="1">
        <v>13</v>
      </c>
      <c r="B14" s="1">
        <v>15.44</v>
      </c>
      <c r="C14" s="1">
        <v>1.19</v>
      </c>
    </row>
    <row r="15" spans="1:3" x14ac:dyDescent="0.2">
      <c r="A15" s="1">
        <v>14</v>
      </c>
      <c r="B15" s="1">
        <v>16.59</v>
      </c>
      <c r="C15" s="1">
        <v>1.19</v>
      </c>
    </row>
    <row r="16" spans="1:3" x14ac:dyDescent="0.2">
      <c r="A16" s="1">
        <v>15</v>
      </c>
      <c r="B16" s="1">
        <v>17.850000000000001</v>
      </c>
      <c r="C16" s="1">
        <v>1.19</v>
      </c>
    </row>
    <row r="17" spans="1:3" x14ac:dyDescent="0.2">
      <c r="A17" s="1">
        <v>16</v>
      </c>
      <c r="B17" s="1">
        <v>19.190000000000001</v>
      </c>
      <c r="C17" s="1">
        <v>1.2</v>
      </c>
    </row>
    <row r="18" spans="1:3" x14ac:dyDescent="0.2">
      <c r="A18" s="1">
        <v>17</v>
      </c>
      <c r="B18" s="1">
        <v>20.49</v>
      </c>
      <c r="C18" s="1">
        <v>1.21</v>
      </c>
    </row>
    <row r="19" spans="1:3" x14ac:dyDescent="0.2">
      <c r="A19" s="1">
        <v>18</v>
      </c>
      <c r="B19" s="1">
        <v>21.09</v>
      </c>
      <c r="C19" s="1">
        <v>1.17</v>
      </c>
    </row>
    <row r="20" spans="1:3" x14ac:dyDescent="0.2">
      <c r="A20" s="1">
        <v>19</v>
      </c>
      <c r="B20" s="1">
        <v>21.19</v>
      </c>
      <c r="C20" s="1">
        <v>1.1200000000000001</v>
      </c>
    </row>
    <row r="21" spans="1:3" x14ac:dyDescent="0.2">
      <c r="A21" s="1">
        <v>20</v>
      </c>
      <c r="B21" s="1">
        <v>21.26</v>
      </c>
      <c r="C21" s="1">
        <v>1.07</v>
      </c>
    </row>
    <row r="22" spans="1:3" x14ac:dyDescent="0.2">
      <c r="A22" s="1">
        <v>25</v>
      </c>
      <c r="B22" s="1">
        <v>21.49</v>
      </c>
      <c r="C22" s="1">
        <v>0.86</v>
      </c>
    </row>
    <row r="23" spans="1:3" x14ac:dyDescent="0.2">
      <c r="A23" s="1">
        <v>30</v>
      </c>
      <c r="B23" s="1">
        <v>21.62</v>
      </c>
      <c r="C23" s="1">
        <v>0.72</v>
      </c>
    </row>
    <row r="24" spans="1:3" x14ac:dyDescent="0.2">
      <c r="A24" s="1">
        <v>40</v>
      </c>
      <c r="B24" s="1">
        <v>21.8</v>
      </c>
      <c r="C24" s="1">
        <v>0.55000000000000004</v>
      </c>
    </row>
    <row r="25" spans="1:3" x14ac:dyDescent="0.2">
      <c r="A25" s="1">
        <v>50</v>
      </c>
      <c r="B25" s="1">
        <v>21.89</v>
      </c>
      <c r="C25" s="1">
        <v>0.44</v>
      </c>
    </row>
    <row r="26" spans="1:3" x14ac:dyDescent="0.2">
      <c r="A26" s="1">
        <v>60</v>
      </c>
      <c r="B26" s="1">
        <v>21.95</v>
      </c>
      <c r="C26" s="1">
        <v>0.37</v>
      </c>
    </row>
    <row r="27" spans="1:3" x14ac:dyDescent="0.2">
      <c r="A27" s="1">
        <v>70</v>
      </c>
      <c r="B27" s="1">
        <v>21.99</v>
      </c>
      <c r="C27" s="1">
        <v>0.31</v>
      </c>
    </row>
    <row r="28" spans="1:3" x14ac:dyDescent="0.2">
      <c r="A28" s="1">
        <v>100</v>
      </c>
      <c r="B28" s="1">
        <v>22.06</v>
      </c>
      <c r="C28" s="1">
        <v>0.22</v>
      </c>
    </row>
    <row r="29" spans="1:3" x14ac:dyDescent="0.2">
      <c r="A29" s="1">
        <v>120</v>
      </c>
      <c r="B29" s="1">
        <v>22.09</v>
      </c>
      <c r="C29" s="1">
        <v>0.18</v>
      </c>
    </row>
    <row r="30" spans="1:3" x14ac:dyDescent="0.2">
      <c r="A30" s="1">
        <v>150</v>
      </c>
      <c r="B30" s="1">
        <v>22.12</v>
      </c>
      <c r="C30" s="1">
        <v>0.15</v>
      </c>
    </row>
    <row r="31" spans="1:3" x14ac:dyDescent="0.2">
      <c r="A31" s="1">
        <v>180</v>
      </c>
      <c r="B31" s="1">
        <v>22.14</v>
      </c>
      <c r="C31" s="1">
        <v>0.12</v>
      </c>
    </row>
    <row r="32" spans="1:3" x14ac:dyDescent="0.2">
      <c r="A32" s="1">
        <v>200</v>
      </c>
      <c r="B32" s="1">
        <v>22.15</v>
      </c>
      <c r="C32" s="1">
        <v>0.11</v>
      </c>
    </row>
    <row r="33" spans="1:3" x14ac:dyDescent="0.2">
      <c r="A33" s="1">
        <v>250</v>
      </c>
      <c r="B33" s="1">
        <v>22.16</v>
      </c>
      <c r="C33" s="1">
        <v>0.09</v>
      </c>
    </row>
    <row r="34" spans="1:3" x14ac:dyDescent="0.2">
      <c r="A34" s="1">
        <v>300</v>
      </c>
      <c r="B34" s="1">
        <v>22.18</v>
      </c>
      <c r="C34" s="1">
        <v>7.0000000000000007E-2</v>
      </c>
    </row>
    <row r="35" spans="1:3" x14ac:dyDescent="0.2">
      <c r="A35" s="1">
        <v>400</v>
      </c>
      <c r="B35" s="1">
        <v>22.18</v>
      </c>
      <c r="C35" s="1">
        <v>0.06</v>
      </c>
    </row>
    <row r="36" spans="1:3" x14ac:dyDescent="0.2">
      <c r="A36" t="s">
        <v>3</v>
      </c>
      <c r="B36" s="1">
        <v>22.23</v>
      </c>
      <c r="C36" s="1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97446-69F2-BF47-A3CF-A165C0AE8D5D}">
  <dimension ref="A1:C36"/>
  <sheetViews>
    <sheetView workbookViewId="0">
      <selection activeCell="F33" sqref="F3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2.76</v>
      </c>
      <c r="C2" s="1">
        <v>1.36</v>
      </c>
    </row>
    <row r="3" spans="1:3" x14ac:dyDescent="0.2">
      <c r="A3" s="1">
        <v>2.5</v>
      </c>
      <c r="B3" s="1">
        <v>3.43</v>
      </c>
      <c r="C3" s="1">
        <v>1.36</v>
      </c>
    </row>
    <row r="4" spans="1:3" x14ac:dyDescent="0.2">
      <c r="A4" s="1">
        <v>3</v>
      </c>
      <c r="B4" s="1">
        <v>4.0999999999999996</v>
      </c>
      <c r="C4" s="1">
        <v>1.36</v>
      </c>
    </row>
    <row r="5" spans="1:3" x14ac:dyDescent="0.2">
      <c r="A5" s="1">
        <v>4</v>
      </c>
      <c r="B5" s="1">
        <v>5.4</v>
      </c>
      <c r="C5" s="1">
        <v>1.35</v>
      </c>
    </row>
    <row r="6" spans="1:3" x14ac:dyDescent="0.2">
      <c r="A6" s="1">
        <v>5</v>
      </c>
      <c r="B6" s="1">
        <v>6.71</v>
      </c>
      <c r="C6" s="1">
        <v>1.34</v>
      </c>
    </row>
    <row r="7" spans="1:3" x14ac:dyDescent="0.2">
      <c r="A7" s="1">
        <v>6</v>
      </c>
      <c r="B7" s="1">
        <v>8.0500000000000007</v>
      </c>
      <c r="C7" s="1">
        <v>1.34</v>
      </c>
    </row>
    <row r="8" spans="1:3" x14ac:dyDescent="0.2">
      <c r="A8" s="1">
        <v>7</v>
      </c>
      <c r="B8" s="1">
        <v>9.33</v>
      </c>
      <c r="C8" s="1">
        <v>1.33</v>
      </c>
    </row>
    <row r="9" spans="1:3" x14ac:dyDescent="0.2">
      <c r="A9" s="1">
        <v>8</v>
      </c>
      <c r="B9" s="1">
        <v>10.6</v>
      </c>
      <c r="C9" s="1">
        <v>1.33</v>
      </c>
    </row>
    <row r="10" spans="1:3" x14ac:dyDescent="0.2">
      <c r="A10" s="1">
        <v>9</v>
      </c>
      <c r="B10" s="1">
        <v>11.89</v>
      </c>
      <c r="C10" s="1">
        <v>1.32</v>
      </c>
    </row>
    <row r="11" spans="1:3" x14ac:dyDescent="0.2">
      <c r="A11" s="1">
        <v>10</v>
      </c>
      <c r="B11" s="1">
        <v>13.12</v>
      </c>
      <c r="C11" s="1">
        <v>1.31</v>
      </c>
    </row>
    <row r="12" spans="1:3" x14ac:dyDescent="0.2">
      <c r="A12" s="1">
        <v>11</v>
      </c>
      <c r="B12" s="1">
        <v>14.34</v>
      </c>
      <c r="C12" s="1">
        <v>1.31</v>
      </c>
    </row>
    <row r="13" spans="1:3" x14ac:dyDescent="0.2">
      <c r="A13" s="1">
        <v>12</v>
      </c>
      <c r="B13" s="1">
        <v>15.59</v>
      </c>
      <c r="C13" s="1">
        <v>1.3</v>
      </c>
    </row>
    <row r="14" spans="1:3" x14ac:dyDescent="0.2">
      <c r="A14" s="1">
        <v>13</v>
      </c>
      <c r="B14" s="1">
        <v>16.829999999999998</v>
      </c>
      <c r="C14" s="1">
        <v>1.3</v>
      </c>
    </row>
    <row r="15" spans="1:3" x14ac:dyDescent="0.2">
      <c r="A15" s="1">
        <v>14</v>
      </c>
      <c r="B15" s="1">
        <v>18.239999999999998</v>
      </c>
      <c r="C15" s="1">
        <v>1.31</v>
      </c>
    </row>
    <row r="16" spans="1:3" x14ac:dyDescent="0.2">
      <c r="A16" s="1">
        <v>15</v>
      </c>
      <c r="B16" s="1">
        <v>19.72</v>
      </c>
      <c r="C16" s="1">
        <v>1.32</v>
      </c>
    </row>
    <row r="17" spans="1:3" x14ac:dyDescent="0.2">
      <c r="A17" s="1">
        <v>16</v>
      </c>
      <c r="B17" s="1">
        <v>20.84</v>
      </c>
      <c r="C17" s="1">
        <v>1.31</v>
      </c>
    </row>
    <row r="18" spans="1:3" x14ac:dyDescent="0.2">
      <c r="A18" s="1">
        <v>17</v>
      </c>
      <c r="B18" s="1">
        <v>21</v>
      </c>
      <c r="C18" s="1">
        <v>1.24</v>
      </c>
    </row>
    <row r="19" spans="1:3" x14ac:dyDescent="0.2">
      <c r="A19" s="1">
        <v>18</v>
      </c>
      <c r="B19" s="1">
        <v>21.03</v>
      </c>
      <c r="C19" s="1">
        <v>1.17</v>
      </c>
    </row>
    <row r="20" spans="1:3" x14ac:dyDescent="0.2">
      <c r="A20" s="1">
        <v>19</v>
      </c>
      <c r="B20" s="1">
        <v>21.14</v>
      </c>
      <c r="C20" s="1">
        <v>1.1100000000000001</v>
      </c>
    </row>
    <row r="21" spans="1:3" x14ac:dyDescent="0.2">
      <c r="A21" s="1">
        <v>20</v>
      </c>
      <c r="B21" s="1">
        <v>21.2</v>
      </c>
      <c r="C21" s="1">
        <v>1.06</v>
      </c>
    </row>
    <row r="22" spans="1:3" x14ac:dyDescent="0.2">
      <c r="A22" s="1">
        <v>25</v>
      </c>
      <c r="B22" s="1">
        <v>21.4</v>
      </c>
      <c r="C22" s="1">
        <v>0.86</v>
      </c>
    </row>
    <row r="23" spans="1:3" x14ac:dyDescent="0.2">
      <c r="A23" s="1">
        <v>30</v>
      </c>
      <c r="B23" s="1">
        <v>21.53</v>
      </c>
      <c r="C23" s="1">
        <v>0.72</v>
      </c>
    </row>
    <row r="24" spans="1:3" x14ac:dyDescent="0.2">
      <c r="A24" s="1">
        <v>40</v>
      </c>
      <c r="B24" s="1">
        <v>21.67</v>
      </c>
      <c r="C24" s="1">
        <v>0.54</v>
      </c>
    </row>
    <row r="25" spans="1:3" x14ac:dyDescent="0.2">
      <c r="A25" s="1">
        <v>50</v>
      </c>
      <c r="B25" s="1">
        <v>21.77</v>
      </c>
      <c r="C25" s="1">
        <v>0.44</v>
      </c>
    </row>
    <row r="26" spans="1:3" x14ac:dyDescent="0.2">
      <c r="A26" s="1">
        <v>60</v>
      </c>
      <c r="B26" s="1">
        <v>21.84</v>
      </c>
      <c r="C26" s="1">
        <v>0.36</v>
      </c>
    </row>
    <row r="27" spans="1:3" x14ac:dyDescent="0.2">
      <c r="A27" s="1">
        <v>70</v>
      </c>
      <c r="B27" s="1">
        <v>21.88</v>
      </c>
      <c r="C27" s="1">
        <v>0.31</v>
      </c>
    </row>
    <row r="28" spans="1:3" x14ac:dyDescent="0.2">
      <c r="A28" s="1">
        <v>100</v>
      </c>
      <c r="B28" s="1">
        <v>21.96</v>
      </c>
      <c r="C28" s="1">
        <v>0.22</v>
      </c>
    </row>
    <row r="29" spans="1:3" x14ac:dyDescent="0.2">
      <c r="A29" s="1">
        <v>120</v>
      </c>
      <c r="B29" s="1">
        <v>22</v>
      </c>
      <c r="C29" s="1">
        <v>0.18</v>
      </c>
    </row>
    <row r="30" spans="1:3" x14ac:dyDescent="0.2">
      <c r="A30" s="1">
        <v>150</v>
      </c>
      <c r="B30" s="1">
        <v>22.03</v>
      </c>
      <c r="C30" s="1">
        <v>0.15</v>
      </c>
    </row>
    <row r="31" spans="1:3" x14ac:dyDescent="0.2">
      <c r="A31" s="1">
        <v>180</v>
      </c>
      <c r="B31" s="1">
        <v>22.05</v>
      </c>
      <c r="C31" s="1">
        <v>0.12</v>
      </c>
    </row>
    <row r="32" spans="1:3" x14ac:dyDescent="0.2">
      <c r="A32" s="1">
        <v>200</v>
      </c>
      <c r="B32" s="1">
        <v>22.05</v>
      </c>
      <c r="C32" s="1">
        <v>0.11</v>
      </c>
    </row>
    <row r="33" spans="1:3" x14ac:dyDescent="0.2">
      <c r="A33" s="1">
        <v>250</v>
      </c>
      <c r="B33" s="1">
        <v>22.08</v>
      </c>
      <c r="C33" s="1">
        <v>0.09</v>
      </c>
    </row>
    <row r="34" spans="1:3" x14ac:dyDescent="0.2">
      <c r="A34" s="1">
        <v>300</v>
      </c>
      <c r="B34" s="1">
        <v>22.08</v>
      </c>
      <c r="C34" s="1">
        <v>7.0000000000000007E-2</v>
      </c>
    </row>
    <row r="35" spans="1:3" x14ac:dyDescent="0.2">
      <c r="A35" s="1">
        <v>400</v>
      </c>
      <c r="B35" s="1">
        <v>22.12</v>
      </c>
      <c r="C35" s="1">
        <v>0.06</v>
      </c>
    </row>
    <row r="36" spans="1:3" x14ac:dyDescent="0.2">
      <c r="A36" t="s">
        <v>3</v>
      </c>
      <c r="B36" s="1">
        <v>22.14</v>
      </c>
      <c r="C36" s="1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2E8E3-6688-3F46-949D-E02326F95F27}">
  <dimension ref="A1:V48"/>
  <sheetViews>
    <sheetView workbookViewId="0"/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</row>
    <row r="2" spans="1:11" x14ac:dyDescent="0.2">
      <c r="A2" s="1">
        <v>2</v>
      </c>
      <c r="B2" s="1">
        <v>10.29</v>
      </c>
      <c r="C2" s="1">
        <v>5.1100000000000003</v>
      </c>
    </row>
    <row r="3" spans="1:11" x14ac:dyDescent="0.2">
      <c r="A3" s="1">
        <v>2.5</v>
      </c>
      <c r="B3" s="1">
        <v>12.83</v>
      </c>
      <c r="C3" s="1">
        <v>5.1100000000000003</v>
      </c>
    </row>
    <row r="4" spans="1:11" x14ac:dyDescent="0.2">
      <c r="A4" s="1">
        <v>3</v>
      </c>
      <c r="B4" s="1">
        <v>14.89</v>
      </c>
      <c r="C4" s="1">
        <v>4.95</v>
      </c>
    </row>
    <row r="5" spans="1:11" x14ac:dyDescent="0.2">
      <c r="A5" s="1">
        <v>3.5</v>
      </c>
      <c r="B5" s="1">
        <v>16.36</v>
      </c>
      <c r="C5" s="1">
        <v>4.67</v>
      </c>
    </row>
    <row r="6" spans="1:11" x14ac:dyDescent="0.2">
      <c r="A6" s="1">
        <v>4</v>
      </c>
      <c r="B6" s="1">
        <v>17.309999999999999</v>
      </c>
      <c r="C6" s="1">
        <v>4.32</v>
      </c>
    </row>
    <row r="7" spans="1:11" x14ac:dyDescent="0.2">
      <c r="A7" s="1">
        <v>4.5</v>
      </c>
      <c r="B7" s="1">
        <v>17.97</v>
      </c>
      <c r="C7" s="1">
        <v>3.99</v>
      </c>
    </row>
    <row r="8" spans="1:11" x14ac:dyDescent="0.2">
      <c r="A8" s="1">
        <v>5</v>
      </c>
      <c r="B8" s="1">
        <v>18.45</v>
      </c>
      <c r="C8" s="1">
        <v>3.69</v>
      </c>
    </row>
    <row r="9" spans="1:11" x14ac:dyDescent="0.2">
      <c r="A9" s="1">
        <v>5.5</v>
      </c>
      <c r="B9" s="1">
        <v>18.82</v>
      </c>
      <c r="C9" s="1">
        <v>3.42</v>
      </c>
      <c r="K9" t="s">
        <v>28</v>
      </c>
    </row>
    <row r="10" spans="1:11" x14ac:dyDescent="0.2">
      <c r="A10" s="1">
        <v>6</v>
      </c>
      <c r="B10" s="1">
        <v>19.13</v>
      </c>
      <c r="C10" s="1">
        <v>3.19</v>
      </c>
    </row>
    <row r="11" spans="1:11" x14ac:dyDescent="0.2">
      <c r="A11" s="1">
        <v>6.5</v>
      </c>
      <c r="B11" s="1">
        <v>19.36</v>
      </c>
      <c r="C11" s="1">
        <v>2.98</v>
      </c>
    </row>
    <row r="12" spans="1:11" x14ac:dyDescent="0.2">
      <c r="A12" s="1">
        <v>7</v>
      </c>
      <c r="B12" s="1">
        <v>19.309999999999999</v>
      </c>
      <c r="C12" s="1">
        <v>2.97</v>
      </c>
    </row>
    <row r="13" spans="1:11" x14ac:dyDescent="0.2">
      <c r="A13" s="1">
        <v>8</v>
      </c>
      <c r="B13" s="1">
        <v>19.850000000000001</v>
      </c>
      <c r="C13" s="1">
        <v>2.548</v>
      </c>
    </row>
    <row r="14" spans="1:11" x14ac:dyDescent="0.2">
      <c r="A14" s="1">
        <v>9</v>
      </c>
      <c r="B14" s="1">
        <v>20.13</v>
      </c>
      <c r="C14" s="1">
        <v>2.2400000000000002</v>
      </c>
    </row>
    <row r="15" spans="1:11" x14ac:dyDescent="0.2">
      <c r="A15" s="1">
        <v>10</v>
      </c>
      <c r="B15" s="1">
        <v>20.350000000000001</v>
      </c>
      <c r="C15" s="1">
        <v>2.04</v>
      </c>
    </row>
    <row r="16" spans="1:11" x14ac:dyDescent="0.2">
      <c r="A16" s="1">
        <v>11</v>
      </c>
      <c r="B16" s="1">
        <v>20.5</v>
      </c>
      <c r="C16" s="1">
        <v>1.87</v>
      </c>
    </row>
    <row r="17" spans="1:3" x14ac:dyDescent="0.2">
      <c r="A17" s="1">
        <v>12</v>
      </c>
      <c r="B17" s="1">
        <v>20.66</v>
      </c>
      <c r="C17" s="1">
        <v>1.72</v>
      </c>
    </row>
    <row r="18" spans="1:3" x14ac:dyDescent="0.2">
      <c r="A18" s="1">
        <v>13</v>
      </c>
      <c r="B18" s="1">
        <v>20.78</v>
      </c>
      <c r="C18" s="1">
        <v>1.68</v>
      </c>
    </row>
    <row r="19" spans="1:3" x14ac:dyDescent="0.2">
      <c r="A19" s="1">
        <v>14</v>
      </c>
      <c r="B19" s="1">
        <v>20.88</v>
      </c>
      <c r="C19" s="1">
        <v>1.49</v>
      </c>
    </row>
    <row r="20" spans="1:3" x14ac:dyDescent="0.2">
      <c r="A20" s="1">
        <v>15</v>
      </c>
      <c r="B20" s="1">
        <v>20.96</v>
      </c>
      <c r="C20" s="1">
        <v>1.4</v>
      </c>
    </row>
    <row r="21" spans="1:3" x14ac:dyDescent="0.2">
      <c r="A21" s="1">
        <v>16</v>
      </c>
      <c r="B21" s="1">
        <v>21.03</v>
      </c>
      <c r="C21" s="1">
        <v>1.32</v>
      </c>
    </row>
    <row r="22" spans="1:3" x14ac:dyDescent="0.2">
      <c r="A22" s="1">
        <v>17</v>
      </c>
      <c r="B22" s="1">
        <v>21.1</v>
      </c>
      <c r="C22" s="1">
        <v>1.24</v>
      </c>
    </row>
    <row r="23" spans="1:3" x14ac:dyDescent="0.2">
      <c r="A23" s="1">
        <v>18</v>
      </c>
      <c r="B23" s="1">
        <v>21.17</v>
      </c>
      <c r="C23" s="1">
        <v>1.18</v>
      </c>
    </row>
    <row r="24" spans="1:3" x14ac:dyDescent="0.2">
      <c r="A24" s="1">
        <v>19</v>
      </c>
      <c r="B24" s="1">
        <v>21.22</v>
      </c>
      <c r="C24" s="1">
        <v>1.1200000000000001</v>
      </c>
    </row>
    <row r="25" spans="1:3" x14ac:dyDescent="0.2">
      <c r="A25" s="1">
        <v>20</v>
      </c>
      <c r="B25" s="1">
        <v>21.28</v>
      </c>
      <c r="C25" s="1">
        <v>1.07</v>
      </c>
    </row>
    <row r="26" spans="1:3" x14ac:dyDescent="0.2">
      <c r="A26" s="1">
        <v>30</v>
      </c>
      <c r="B26" s="1">
        <v>21.58</v>
      </c>
      <c r="C26" s="1">
        <v>0.73</v>
      </c>
    </row>
    <row r="27" spans="1:3" x14ac:dyDescent="0.2">
      <c r="A27" s="1">
        <v>40</v>
      </c>
      <c r="B27" s="1">
        <v>21.72</v>
      </c>
      <c r="C27" s="1">
        <v>0.54</v>
      </c>
    </row>
    <row r="28" spans="1:3" x14ac:dyDescent="0.2">
      <c r="A28" s="1">
        <v>50</v>
      </c>
      <c r="B28" s="1">
        <v>21.81</v>
      </c>
      <c r="C28" s="1">
        <v>0.44</v>
      </c>
    </row>
    <row r="29" spans="1:3" x14ac:dyDescent="0.2">
      <c r="A29" s="1">
        <v>60</v>
      </c>
      <c r="B29" s="1">
        <v>21.88</v>
      </c>
      <c r="C29" s="1">
        <v>0.36</v>
      </c>
    </row>
    <row r="30" spans="1:3" x14ac:dyDescent="0.2">
      <c r="A30" s="1">
        <v>70</v>
      </c>
      <c r="B30" s="1">
        <v>21.92</v>
      </c>
      <c r="C30" s="1">
        <v>0.31</v>
      </c>
    </row>
    <row r="31" spans="1:3" x14ac:dyDescent="0.2">
      <c r="A31" s="1">
        <v>100</v>
      </c>
      <c r="B31" s="1">
        <v>22</v>
      </c>
      <c r="C31" s="1">
        <v>0.22</v>
      </c>
    </row>
    <row r="32" spans="1:3" x14ac:dyDescent="0.2">
      <c r="A32" s="1">
        <v>200</v>
      </c>
      <c r="B32" s="1">
        <v>22.09</v>
      </c>
      <c r="C32" s="1">
        <v>0.11</v>
      </c>
    </row>
    <row r="33" spans="1:22" x14ac:dyDescent="0.2">
      <c r="A33" s="1">
        <v>300</v>
      </c>
      <c r="B33" s="1">
        <v>22.11</v>
      </c>
      <c r="C33" s="1">
        <v>7.0000000000000007E-2</v>
      </c>
    </row>
    <row r="34" spans="1:22" x14ac:dyDescent="0.2">
      <c r="A34" s="1">
        <v>400</v>
      </c>
      <c r="B34" s="1">
        <v>22.13</v>
      </c>
      <c r="C34" s="1">
        <v>0.06</v>
      </c>
    </row>
    <row r="35" spans="1:22" x14ac:dyDescent="0.2">
      <c r="A35" t="s">
        <v>3</v>
      </c>
      <c r="B35" s="1">
        <v>22.17</v>
      </c>
      <c r="C35" s="1">
        <v>0</v>
      </c>
    </row>
    <row r="38" spans="1:22" x14ac:dyDescent="0.2">
      <c r="H38" s="22" t="s">
        <v>4</v>
      </c>
      <c r="I38" s="23"/>
      <c r="J38" s="23"/>
      <c r="K38" s="23"/>
      <c r="P38" s="22" t="s">
        <v>5</v>
      </c>
      <c r="Q38" s="23"/>
      <c r="R38" s="23"/>
      <c r="S38" s="23"/>
    </row>
    <row r="39" spans="1:22" x14ac:dyDescent="0.2">
      <c r="H39" s="2" t="s">
        <v>6</v>
      </c>
      <c r="I39" s="2" t="s">
        <v>7</v>
      </c>
      <c r="J39" s="2" t="s">
        <v>8</v>
      </c>
      <c r="K39" s="2" t="s">
        <v>9</v>
      </c>
      <c r="M39" s="24" t="s">
        <v>10</v>
      </c>
      <c r="N39" s="23"/>
      <c r="P39" s="2" t="s">
        <v>6</v>
      </c>
      <c r="Q39" s="2" t="s">
        <v>7</v>
      </c>
      <c r="R39" s="2" t="s">
        <v>8</v>
      </c>
      <c r="S39" s="2" t="s">
        <v>9</v>
      </c>
      <c r="U39" s="24" t="s">
        <v>10</v>
      </c>
      <c r="V39" s="23"/>
    </row>
    <row r="40" spans="1:22" x14ac:dyDescent="0.2">
      <c r="H40" s="3" t="s">
        <v>11</v>
      </c>
      <c r="I40" s="4">
        <v>49</v>
      </c>
      <c r="J40" s="4">
        <v>48.3</v>
      </c>
      <c r="K40" s="4">
        <v>48.5</v>
      </c>
      <c r="M40" s="3" t="s">
        <v>12</v>
      </c>
      <c r="N40" s="5">
        <f>AVERAGE(I40:K42)</f>
        <v>48.75555555555556</v>
      </c>
      <c r="P40" s="3" t="s">
        <v>11</v>
      </c>
      <c r="Q40" s="4">
        <v>944.9</v>
      </c>
      <c r="R40" s="4">
        <v>948</v>
      </c>
      <c r="S40" s="4">
        <v>971.8</v>
      </c>
      <c r="U40" s="3" t="s">
        <v>12</v>
      </c>
      <c r="V40" s="5">
        <f>AVERAGE(Q40:S42)</f>
        <v>981.86666666666656</v>
      </c>
    </row>
    <row r="41" spans="1:22" x14ac:dyDescent="0.2">
      <c r="H41" s="3" t="s">
        <v>13</v>
      </c>
      <c r="I41" s="4">
        <v>48.8</v>
      </c>
      <c r="J41" s="4">
        <v>52</v>
      </c>
      <c r="K41" s="4">
        <v>50</v>
      </c>
      <c r="M41" s="3" t="s">
        <v>14</v>
      </c>
      <c r="N41" s="5">
        <f>MIN(I40:K42)</f>
        <v>46.7</v>
      </c>
      <c r="P41" s="3" t="s">
        <v>13</v>
      </c>
      <c r="Q41" s="4">
        <v>943.6</v>
      </c>
      <c r="R41" s="4">
        <v>1015</v>
      </c>
      <c r="S41" s="4">
        <v>990.5</v>
      </c>
      <c r="U41" s="3" t="s">
        <v>14</v>
      </c>
      <c r="V41" s="5">
        <f>MIN(Q40:S42)</f>
        <v>943.6</v>
      </c>
    </row>
    <row r="42" spans="1:22" x14ac:dyDescent="0.2">
      <c r="H42" s="3" t="s">
        <v>15</v>
      </c>
      <c r="I42" s="4">
        <v>48</v>
      </c>
      <c r="J42" s="4">
        <v>46.7</v>
      </c>
      <c r="K42" s="4">
        <v>47.5</v>
      </c>
      <c r="M42" s="3" t="s">
        <v>16</v>
      </c>
      <c r="N42" s="5">
        <f>MAX(I40:K42)</f>
        <v>52</v>
      </c>
      <c r="P42" s="3" t="s">
        <v>15</v>
      </c>
      <c r="Q42" s="4">
        <v>1040</v>
      </c>
      <c r="R42" s="4">
        <v>966</v>
      </c>
      <c r="S42" s="4">
        <v>1017</v>
      </c>
      <c r="U42" s="3" t="s">
        <v>16</v>
      </c>
      <c r="V42" s="5">
        <f>MAX(Q40:S42)</f>
        <v>1040</v>
      </c>
    </row>
    <row r="43" spans="1:22" x14ac:dyDescent="0.2">
      <c r="M43" s="3" t="s">
        <v>17</v>
      </c>
      <c r="N43" s="5">
        <f>N42-N41</f>
        <v>5.2999999999999972</v>
      </c>
      <c r="U43" s="3" t="s">
        <v>17</v>
      </c>
      <c r="V43" s="5">
        <f>V42-V41</f>
        <v>96.399999999999977</v>
      </c>
    </row>
    <row r="44" spans="1:22" x14ac:dyDescent="0.2">
      <c r="H44" s="6" t="s">
        <v>18</v>
      </c>
      <c r="M44" s="7" t="s">
        <v>19</v>
      </c>
      <c r="N44" s="8">
        <f>_xlfn.STDEV.S(I40:K42)</f>
        <v>1.5322459912748267</v>
      </c>
      <c r="U44" s="7" t="s">
        <v>20</v>
      </c>
      <c r="V44" s="8">
        <f>((MAX(Q40:S42)-MIN(Q40:S42))/(MAX(Q40:S42)+MIN(Q40:S42)))*100</f>
        <v>4.8598507763662022</v>
      </c>
    </row>
    <row r="45" spans="1:22" x14ac:dyDescent="0.2">
      <c r="H45" s="9" t="s">
        <v>21</v>
      </c>
      <c r="J45" s="25" t="s">
        <v>22</v>
      </c>
      <c r="K45" s="26"/>
      <c r="L45" s="26"/>
      <c r="M45" s="26"/>
      <c r="N45" s="26"/>
    </row>
    <row r="46" spans="1:22" x14ac:dyDescent="0.2">
      <c r="H46" s="9" t="s">
        <v>23</v>
      </c>
      <c r="J46" s="25"/>
      <c r="K46" s="26"/>
      <c r="L46" s="26"/>
      <c r="M46" s="26"/>
      <c r="N46" s="26"/>
    </row>
    <row r="47" spans="1:22" x14ac:dyDescent="0.2">
      <c r="H47" s="9" t="s">
        <v>24</v>
      </c>
      <c r="J47" s="25"/>
      <c r="K47" s="26"/>
      <c r="L47" s="26"/>
      <c r="M47" s="26"/>
      <c r="N47" s="26"/>
    </row>
    <row r="48" spans="1:22" x14ac:dyDescent="0.2">
      <c r="H48" s="9" t="s">
        <v>25</v>
      </c>
      <c r="J48" s="25" t="s">
        <v>26</v>
      </c>
      <c r="K48" s="26"/>
      <c r="L48" s="26"/>
      <c r="M48" s="26"/>
      <c r="N48" s="26"/>
    </row>
  </sheetData>
  <mergeCells count="8">
    <mergeCell ref="J46:N46"/>
    <mergeCell ref="J47:N47"/>
    <mergeCell ref="J48:N48"/>
    <mergeCell ref="H38:K38"/>
    <mergeCell ref="P38:S38"/>
    <mergeCell ref="M39:N39"/>
    <mergeCell ref="U39:V39"/>
    <mergeCell ref="J45:N4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23DD-50CC-CB49-A96A-6BC8C3EBEB70}">
  <dimension ref="A1:E24"/>
  <sheetViews>
    <sheetView tabSelected="1" workbookViewId="0">
      <selection activeCell="D28" sqref="D28"/>
    </sheetView>
  </sheetViews>
  <sheetFormatPr baseColWidth="10" defaultRowHeight="16" x14ac:dyDescent="0.2"/>
  <sheetData>
    <row r="1" spans="1:5" x14ac:dyDescent="0.2">
      <c r="A1" s="21"/>
    </row>
    <row r="3" spans="1:5" ht="19" x14ac:dyDescent="0.25">
      <c r="A3" s="33" t="s">
        <v>29</v>
      </c>
    </row>
    <row r="5" spans="1:5" x14ac:dyDescent="0.2">
      <c r="B5" t="s">
        <v>34</v>
      </c>
      <c r="C5" t="s">
        <v>35</v>
      </c>
    </row>
    <row r="6" spans="1:5" x14ac:dyDescent="0.2">
      <c r="A6" t="s">
        <v>30</v>
      </c>
      <c r="B6">
        <v>0.45700000000000002</v>
      </c>
      <c r="C6" t="s">
        <v>36</v>
      </c>
    </row>
    <row r="7" spans="1:5" x14ac:dyDescent="0.2">
      <c r="A7" t="s">
        <v>31</v>
      </c>
      <c r="B7">
        <v>0.45700000000000002</v>
      </c>
      <c r="C7" t="s">
        <v>36</v>
      </c>
    </row>
    <row r="8" spans="1:5" x14ac:dyDescent="0.2">
      <c r="A8" t="s">
        <v>32</v>
      </c>
      <c r="B8">
        <v>0.45400000000000001</v>
      </c>
      <c r="C8" t="s">
        <v>36</v>
      </c>
    </row>
    <row r="9" spans="1:5" x14ac:dyDescent="0.2">
      <c r="A9" t="s">
        <v>33</v>
      </c>
      <c r="B9">
        <v>0.45700000000000002</v>
      </c>
      <c r="C9" t="s">
        <v>36</v>
      </c>
    </row>
    <row r="10" spans="1:5" ht="18" x14ac:dyDescent="0.2">
      <c r="A10" s="34" t="s">
        <v>37</v>
      </c>
    </row>
    <row r="11" spans="1:5" ht="20" x14ac:dyDescent="0.2">
      <c r="A11" s="10"/>
      <c r="C11" t="s">
        <v>39</v>
      </c>
      <c r="D11" t="s">
        <v>42</v>
      </c>
      <c r="E11" t="s">
        <v>47</v>
      </c>
    </row>
    <row r="12" spans="1:5" ht="20" x14ac:dyDescent="0.2">
      <c r="A12" s="10"/>
    </row>
    <row r="13" spans="1:5" x14ac:dyDescent="0.2">
      <c r="A13" t="s">
        <v>40</v>
      </c>
      <c r="C13" t="s">
        <v>44</v>
      </c>
      <c r="D13" t="s">
        <v>44</v>
      </c>
      <c r="E13" t="s">
        <v>51</v>
      </c>
    </row>
    <row r="14" spans="1:5" ht="17" customHeight="1" x14ac:dyDescent="0.2">
      <c r="A14" t="s">
        <v>41</v>
      </c>
      <c r="C14" t="s">
        <v>44</v>
      </c>
      <c r="D14" t="s">
        <v>44</v>
      </c>
      <c r="E14" t="s">
        <v>52</v>
      </c>
    </row>
    <row r="15" spans="1:5" ht="19" x14ac:dyDescent="0.25">
      <c r="A15" s="35" t="s">
        <v>45</v>
      </c>
    </row>
    <row r="17" spans="1:2" x14ac:dyDescent="0.2">
      <c r="A17" t="s">
        <v>39</v>
      </c>
      <c r="B17" t="s">
        <v>44</v>
      </c>
    </row>
    <row r="18" spans="1:2" x14ac:dyDescent="0.2">
      <c r="A18" t="s">
        <v>46</v>
      </c>
      <c r="B18" t="s">
        <v>44</v>
      </c>
    </row>
    <row r="19" spans="1:2" x14ac:dyDescent="0.2">
      <c r="A19" t="s">
        <v>47</v>
      </c>
      <c r="B19" t="s">
        <v>53</v>
      </c>
    </row>
    <row r="20" spans="1:2" ht="19" x14ac:dyDescent="0.25">
      <c r="A20" s="33" t="s">
        <v>48</v>
      </c>
    </row>
    <row r="22" spans="1:2" x14ac:dyDescent="0.2">
      <c r="A22" t="s">
        <v>39</v>
      </c>
      <c r="B22" t="s">
        <v>49</v>
      </c>
    </row>
    <row r="23" spans="1:2" x14ac:dyDescent="0.2">
      <c r="A23" t="s">
        <v>46</v>
      </c>
      <c r="B23" t="s">
        <v>49</v>
      </c>
    </row>
    <row r="24" spans="1:2" x14ac:dyDescent="0.2">
      <c r="A24" t="s">
        <v>43</v>
      </c>
      <c r="B24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E779-3088-F842-A225-4E0A9C7214F6}">
  <dimension ref="A1:O36"/>
  <sheetViews>
    <sheetView workbookViewId="0">
      <selection activeCell="B1" sqref="B1:C36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4.91</v>
      </c>
      <c r="C2" s="1">
        <v>2.44</v>
      </c>
    </row>
    <row r="3" spans="1:3" x14ac:dyDescent="0.2">
      <c r="A3" s="1">
        <v>2.5</v>
      </c>
      <c r="B3" s="1">
        <v>6.1</v>
      </c>
      <c r="C3" s="1">
        <v>2.4300000000000002</v>
      </c>
    </row>
    <row r="4" spans="1:3" x14ac:dyDescent="0.2">
      <c r="A4" s="1">
        <v>3</v>
      </c>
      <c r="B4" s="1">
        <v>7.3</v>
      </c>
      <c r="C4" s="1">
        <v>2.42</v>
      </c>
    </row>
    <row r="5" spans="1:3" x14ac:dyDescent="0.2">
      <c r="A5" s="1">
        <v>4</v>
      </c>
      <c r="B5" s="1">
        <v>9.65</v>
      </c>
      <c r="C5" s="1">
        <v>2.4</v>
      </c>
    </row>
    <row r="6" spans="1:3" x14ac:dyDescent="0.2">
      <c r="A6" s="1">
        <v>5</v>
      </c>
      <c r="B6" s="1">
        <v>11.96</v>
      </c>
      <c r="C6" s="1">
        <v>2.39</v>
      </c>
    </row>
    <row r="7" spans="1:3" x14ac:dyDescent="0.2">
      <c r="A7" s="1">
        <v>6</v>
      </c>
      <c r="B7" s="1">
        <v>14.3</v>
      </c>
      <c r="C7" s="1">
        <v>2.38</v>
      </c>
    </row>
    <row r="8" spans="1:3" x14ac:dyDescent="0.2">
      <c r="A8" s="1">
        <v>7</v>
      </c>
      <c r="B8" s="1">
        <v>16.61</v>
      </c>
      <c r="C8" s="1">
        <v>2.37</v>
      </c>
    </row>
    <row r="9" spans="1:3" x14ac:dyDescent="0.2">
      <c r="A9" s="1">
        <v>8</v>
      </c>
      <c r="B9" s="1">
        <v>19.16</v>
      </c>
      <c r="C9" s="1">
        <v>2.39</v>
      </c>
    </row>
    <row r="10" spans="1:3" x14ac:dyDescent="0.2">
      <c r="A10" s="1">
        <v>9</v>
      </c>
      <c r="B10" s="1">
        <v>20.28</v>
      </c>
      <c r="C10" s="1">
        <v>2.25</v>
      </c>
    </row>
    <row r="11" spans="1:3" x14ac:dyDescent="0.2">
      <c r="A11" s="1">
        <v>10</v>
      </c>
      <c r="B11" s="1">
        <v>20.53</v>
      </c>
      <c r="C11" s="1">
        <v>2.06</v>
      </c>
    </row>
    <row r="12" spans="1:3" x14ac:dyDescent="0.2">
      <c r="A12" s="1">
        <v>11</v>
      </c>
      <c r="B12" s="1">
        <v>20.75</v>
      </c>
      <c r="C12" s="1">
        <v>1.89</v>
      </c>
    </row>
    <row r="13" spans="1:3" x14ac:dyDescent="0.2">
      <c r="A13" s="1">
        <v>12</v>
      </c>
      <c r="B13" s="1">
        <v>20.93</v>
      </c>
      <c r="C13" s="1">
        <v>1.75</v>
      </c>
    </row>
    <row r="14" spans="1:3" x14ac:dyDescent="0.2">
      <c r="A14" s="1">
        <v>13</v>
      </c>
      <c r="B14" s="1">
        <v>21.05</v>
      </c>
      <c r="C14" s="1">
        <v>1.62</v>
      </c>
    </row>
    <row r="15" spans="1:3" x14ac:dyDescent="0.2">
      <c r="A15" s="1">
        <v>14</v>
      </c>
      <c r="B15" s="1">
        <v>21.18</v>
      </c>
      <c r="C15" s="1">
        <v>1.51</v>
      </c>
    </row>
    <row r="16" spans="1:3" x14ac:dyDescent="0.2">
      <c r="A16" s="1">
        <v>15</v>
      </c>
      <c r="B16" s="1">
        <v>21.27</v>
      </c>
      <c r="C16" s="1">
        <v>1.42</v>
      </c>
    </row>
    <row r="17" spans="1:15" x14ac:dyDescent="0.2">
      <c r="A17" s="1">
        <v>16</v>
      </c>
      <c r="B17" s="1">
        <v>21.37</v>
      </c>
      <c r="C17" s="1">
        <v>1.34</v>
      </c>
    </row>
    <row r="18" spans="1:15" x14ac:dyDescent="0.2">
      <c r="A18" s="1">
        <v>17</v>
      </c>
      <c r="B18" s="1">
        <v>21.46</v>
      </c>
      <c r="C18" s="1">
        <v>1.26</v>
      </c>
    </row>
    <row r="19" spans="1:15" x14ac:dyDescent="0.2">
      <c r="A19" s="1">
        <v>18</v>
      </c>
      <c r="B19" s="1">
        <v>21.51</v>
      </c>
      <c r="C19" s="1">
        <v>1.2</v>
      </c>
    </row>
    <row r="20" spans="1:15" x14ac:dyDescent="0.2">
      <c r="A20" s="1">
        <v>19</v>
      </c>
      <c r="B20" s="1">
        <v>21.58</v>
      </c>
      <c r="C20" s="1">
        <v>1.1399999999999999</v>
      </c>
    </row>
    <row r="21" spans="1:15" x14ac:dyDescent="0.2">
      <c r="A21" s="1">
        <v>20</v>
      </c>
      <c r="B21" s="1">
        <v>21.63</v>
      </c>
      <c r="C21" s="1">
        <v>1.08</v>
      </c>
    </row>
    <row r="22" spans="1:15" x14ac:dyDescent="0.2">
      <c r="A22" s="1">
        <v>25</v>
      </c>
      <c r="B22" s="1">
        <v>21.82</v>
      </c>
      <c r="C22" s="1">
        <v>0.87</v>
      </c>
    </row>
    <row r="23" spans="1:15" x14ac:dyDescent="0.2">
      <c r="A23" s="1">
        <v>30</v>
      </c>
      <c r="B23" s="1">
        <v>21.95</v>
      </c>
      <c r="C23" s="1">
        <v>0.73</v>
      </c>
    </row>
    <row r="24" spans="1:15" x14ac:dyDescent="0.2">
      <c r="A24" s="1">
        <v>40</v>
      </c>
      <c r="B24" s="1">
        <v>22.11</v>
      </c>
      <c r="C24" s="1">
        <v>0.55000000000000004</v>
      </c>
    </row>
    <row r="25" spans="1:15" x14ac:dyDescent="0.2">
      <c r="A25" s="1">
        <v>50</v>
      </c>
      <c r="B25" s="1">
        <v>22.2</v>
      </c>
      <c r="C25" s="1">
        <v>0.44</v>
      </c>
    </row>
    <row r="26" spans="1:15" x14ac:dyDescent="0.2">
      <c r="A26" s="1">
        <v>60</v>
      </c>
      <c r="B26" s="1">
        <v>22.26</v>
      </c>
      <c r="C26" s="1">
        <v>0.37</v>
      </c>
      <c r="O26" t="s">
        <v>38</v>
      </c>
    </row>
    <row r="27" spans="1:15" x14ac:dyDescent="0.2">
      <c r="A27" s="1">
        <v>70</v>
      </c>
      <c r="B27" s="1">
        <v>22.29</v>
      </c>
      <c r="C27" s="1">
        <v>0.32</v>
      </c>
    </row>
    <row r="28" spans="1:15" x14ac:dyDescent="0.2">
      <c r="A28" s="1">
        <v>100</v>
      </c>
      <c r="B28" s="1">
        <v>22.37</v>
      </c>
      <c r="C28" s="1">
        <v>0.22</v>
      </c>
    </row>
    <row r="29" spans="1:15" x14ac:dyDescent="0.2">
      <c r="A29" s="1">
        <v>120</v>
      </c>
      <c r="B29" s="1">
        <v>22.4</v>
      </c>
      <c r="C29" s="1">
        <v>0.19</v>
      </c>
    </row>
    <row r="30" spans="1:15" x14ac:dyDescent="0.2">
      <c r="A30" s="1">
        <v>150</v>
      </c>
      <c r="B30" s="1">
        <v>22.43</v>
      </c>
      <c r="C30" s="1">
        <v>0.15</v>
      </c>
    </row>
    <row r="31" spans="1:15" x14ac:dyDescent="0.2">
      <c r="A31" s="1">
        <v>180</v>
      </c>
      <c r="B31" s="1">
        <v>22.44</v>
      </c>
      <c r="C31" s="1">
        <v>0.12</v>
      </c>
    </row>
    <row r="32" spans="1:15" x14ac:dyDescent="0.2">
      <c r="A32" s="1">
        <v>200</v>
      </c>
      <c r="B32" s="1">
        <v>22.44</v>
      </c>
      <c r="C32" s="1">
        <v>0.11</v>
      </c>
    </row>
    <row r="33" spans="1:3" x14ac:dyDescent="0.2">
      <c r="A33" s="1">
        <v>250</v>
      </c>
      <c r="B33" s="1">
        <v>22.47</v>
      </c>
      <c r="C33" s="1">
        <v>0.09</v>
      </c>
    </row>
    <row r="34" spans="1:3" x14ac:dyDescent="0.2">
      <c r="A34" s="1">
        <v>300</v>
      </c>
      <c r="B34" s="1">
        <v>22.48</v>
      </c>
      <c r="C34" s="1">
        <v>7.0000000000000007E-2</v>
      </c>
    </row>
    <row r="35" spans="1:3" x14ac:dyDescent="0.2">
      <c r="A35" s="1">
        <v>400</v>
      </c>
      <c r="B35" s="1">
        <v>22.49</v>
      </c>
      <c r="C35" s="1">
        <v>0.06</v>
      </c>
    </row>
    <row r="36" spans="1:3" x14ac:dyDescent="0.2">
      <c r="A36" t="s">
        <v>3</v>
      </c>
      <c r="B36" s="1">
        <v>22.52</v>
      </c>
      <c r="C36" s="1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304E-D0CE-C84F-93C4-B4DD25325306}">
  <dimension ref="A1:V74"/>
  <sheetViews>
    <sheetView workbookViewId="0">
      <selection activeCell="F5" sqref="F5"/>
    </sheetView>
  </sheetViews>
  <sheetFormatPr baseColWidth="10" defaultRowHeight="16" x14ac:dyDescent="0.2"/>
  <sheetData>
    <row r="1" spans="1:22" x14ac:dyDescent="0.2">
      <c r="A1" s="11" t="s">
        <v>0</v>
      </c>
      <c r="B1" s="11" t="s">
        <v>1</v>
      </c>
      <c r="C1" s="11" t="s">
        <v>2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x14ac:dyDescent="0.2">
      <c r="A2" s="11">
        <v>2</v>
      </c>
      <c r="B2" s="11">
        <v>8.5399999999999991</v>
      </c>
      <c r="C2" s="11">
        <v>4.24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x14ac:dyDescent="0.2">
      <c r="A3" s="11">
        <v>2.5</v>
      </c>
      <c r="B3" s="11">
        <v>10.61</v>
      </c>
      <c r="C3" s="11">
        <v>4.21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x14ac:dyDescent="0.2">
      <c r="A4" s="11">
        <v>3</v>
      </c>
      <c r="B4" s="11">
        <v>12.78</v>
      </c>
      <c r="C4" s="11">
        <v>4.22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x14ac:dyDescent="0.2">
      <c r="A5" s="11">
        <v>3.5</v>
      </c>
      <c r="B5" s="11">
        <v>14.71</v>
      </c>
      <c r="C5" s="11">
        <v>4.1900000000000004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x14ac:dyDescent="0.2">
      <c r="A6" s="11">
        <v>4</v>
      </c>
      <c r="B6" s="11">
        <v>16.28</v>
      </c>
      <c r="C6" s="11">
        <v>4.0599999999999996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x14ac:dyDescent="0.2">
      <c r="A7" s="11">
        <v>4.5</v>
      </c>
      <c r="B7" s="11">
        <v>17.399999999999999</v>
      </c>
      <c r="C7" s="11">
        <v>3.86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x14ac:dyDescent="0.2">
      <c r="A8" s="11">
        <v>5</v>
      </c>
      <c r="B8" s="11">
        <v>18.170000000000002</v>
      </c>
      <c r="C8" s="11">
        <v>3.63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x14ac:dyDescent="0.2">
      <c r="A9" s="11">
        <v>5.5</v>
      </c>
      <c r="B9" s="11">
        <v>18.72</v>
      </c>
      <c r="C9" s="11">
        <v>3.4</v>
      </c>
      <c r="D9" s="12"/>
      <c r="E9" s="12"/>
      <c r="F9" s="12"/>
      <c r="G9" s="12"/>
      <c r="H9" s="12"/>
      <c r="I9" s="12"/>
      <c r="J9" s="12"/>
      <c r="K9" s="12" t="s">
        <v>28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x14ac:dyDescent="0.2">
      <c r="A10" s="11">
        <v>6</v>
      </c>
      <c r="B10" s="11">
        <v>19.14</v>
      </c>
      <c r="C10" s="11">
        <v>3.19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x14ac:dyDescent="0.2">
      <c r="A11" s="11">
        <v>7</v>
      </c>
      <c r="B11" s="11">
        <v>19.739999999999998</v>
      </c>
      <c r="C11" s="11">
        <v>2.82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 spans="1:22" x14ac:dyDescent="0.2">
      <c r="A12" s="11">
        <v>8</v>
      </c>
      <c r="B12" s="11">
        <v>20.14</v>
      </c>
      <c r="C12" s="11">
        <v>2.52</v>
      </c>
      <c r="D12" s="12"/>
      <c r="E12" s="12"/>
      <c r="F12" s="12" t="e" vm="1">
        <v>#VALUE!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 spans="1:22" x14ac:dyDescent="0.2">
      <c r="A13" s="11">
        <v>9</v>
      </c>
      <c r="B13" s="11">
        <v>20.45</v>
      </c>
      <c r="C13" s="11">
        <v>2.27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 spans="1:22" x14ac:dyDescent="0.2">
      <c r="A14" s="11">
        <v>10</v>
      </c>
      <c r="B14" s="11">
        <v>20.68</v>
      </c>
      <c r="C14" s="11">
        <v>2.0699999999999998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 spans="1:22" x14ac:dyDescent="0.2">
      <c r="A15" s="11">
        <v>11</v>
      </c>
      <c r="B15" s="11">
        <v>20.89</v>
      </c>
      <c r="C15" s="11">
        <v>1.9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spans="1:22" x14ac:dyDescent="0.2">
      <c r="A16" s="11">
        <v>12</v>
      </c>
      <c r="B16" s="11">
        <v>21.04</v>
      </c>
      <c r="C16" s="11">
        <v>1.76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pans="1:22" x14ac:dyDescent="0.2">
      <c r="A17" s="11">
        <v>13</v>
      </c>
      <c r="B17" s="11">
        <v>21.17</v>
      </c>
      <c r="C17" s="11">
        <v>1.63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pans="1:22" x14ac:dyDescent="0.2">
      <c r="A18" s="11">
        <v>14</v>
      </c>
      <c r="B18" s="11">
        <v>21.28</v>
      </c>
      <c r="C18" s="11">
        <v>1.52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 spans="1:22" x14ac:dyDescent="0.2">
      <c r="A19" s="11">
        <v>15</v>
      </c>
      <c r="B19" s="11">
        <v>21.36</v>
      </c>
      <c r="C19" s="11">
        <v>1.43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 spans="1:22" x14ac:dyDescent="0.2">
      <c r="A20" s="11">
        <v>16</v>
      </c>
      <c r="B20" s="11">
        <v>21.45</v>
      </c>
      <c r="C20" s="11">
        <v>1.34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 spans="1:22" x14ac:dyDescent="0.2">
      <c r="A21" s="11">
        <v>17</v>
      </c>
      <c r="B21" s="11">
        <v>21.52</v>
      </c>
      <c r="C21" s="11">
        <v>1.27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 spans="1:22" x14ac:dyDescent="0.2">
      <c r="A22" s="11">
        <v>18</v>
      </c>
      <c r="B22" s="11">
        <v>21.6</v>
      </c>
      <c r="C22" s="11">
        <v>1.2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 x14ac:dyDescent="0.2">
      <c r="A23" s="11">
        <v>19</v>
      </c>
      <c r="B23" s="11">
        <v>21.68</v>
      </c>
      <c r="C23" s="11">
        <v>1.1399999999999999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 spans="1:22" x14ac:dyDescent="0.2">
      <c r="A24" s="11">
        <v>20</v>
      </c>
      <c r="B24" s="11">
        <v>21.73</v>
      </c>
      <c r="C24" s="11">
        <v>1.0900000000000001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 spans="1:22" x14ac:dyDescent="0.2">
      <c r="A25" s="11">
        <v>30</v>
      </c>
      <c r="B25" s="11">
        <v>22.04</v>
      </c>
      <c r="C25" s="11">
        <v>0.74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 spans="1:22" x14ac:dyDescent="0.2">
      <c r="A26" s="11">
        <v>40</v>
      </c>
      <c r="B26" s="11">
        <v>22.19</v>
      </c>
      <c r="C26" s="11">
        <v>0.56000000000000005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spans="1:22" x14ac:dyDescent="0.2">
      <c r="A27" s="11">
        <v>50</v>
      </c>
      <c r="B27" s="11">
        <v>22.28</v>
      </c>
      <c r="C27" s="11">
        <v>0.45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x14ac:dyDescent="0.2">
      <c r="A28" s="11">
        <v>60</v>
      </c>
      <c r="B28" s="11">
        <v>22.34</v>
      </c>
      <c r="C28" s="11">
        <v>0.37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">
      <c r="A29" s="11">
        <v>70</v>
      </c>
      <c r="B29" s="11">
        <v>22.39</v>
      </c>
      <c r="C29" s="11">
        <v>0.32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 spans="1:22" x14ac:dyDescent="0.2">
      <c r="A30" s="11">
        <v>100</v>
      </c>
      <c r="B30" s="11">
        <v>22.547000000000001</v>
      </c>
      <c r="C30" s="11">
        <v>0.22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 spans="1:22" x14ac:dyDescent="0.2">
      <c r="A31" s="11">
        <v>200</v>
      </c>
      <c r="B31" s="11">
        <v>22.52</v>
      </c>
      <c r="C31" s="11">
        <v>0.11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 spans="1:22" x14ac:dyDescent="0.2">
      <c r="A32" s="11">
        <v>300</v>
      </c>
      <c r="B32" s="11">
        <v>22.58</v>
      </c>
      <c r="C32" s="11">
        <v>7.0000000000000007E-2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x14ac:dyDescent="0.2">
      <c r="A33" s="11">
        <v>400</v>
      </c>
      <c r="B33" s="11">
        <v>22.6</v>
      </c>
      <c r="C33" s="11">
        <v>0.06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x14ac:dyDescent="0.2">
      <c r="A34" s="12" t="s">
        <v>3</v>
      </c>
      <c r="B34" s="11">
        <v>22.64</v>
      </c>
      <c r="C34" s="11">
        <v>0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x14ac:dyDescent="0.2">
      <c r="A38" s="12"/>
      <c r="B38" s="12"/>
      <c r="C38" s="12"/>
      <c r="D38" s="12"/>
      <c r="E38" s="12"/>
      <c r="F38" s="12"/>
      <c r="G38" s="12"/>
      <c r="H38" s="27" t="s">
        <v>4</v>
      </c>
      <c r="I38" s="27"/>
      <c r="J38" s="27"/>
      <c r="K38" s="27"/>
      <c r="L38" s="12"/>
      <c r="M38" s="12"/>
      <c r="N38" s="12"/>
      <c r="O38" s="12"/>
      <c r="P38" s="27" t="s">
        <v>5</v>
      </c>
      <c r="Q38" s="27"/>
      <c r="R38" s="27"/>
      <c r="S38" s="27"/>
      <c r="T38" s="12"/>
      <c r="U38" s="12"/>
      <c r="V38" s="12"/>
    </row>
    <row r="39" spans="1:22" x14ac:dyDescent="0.2">
      <c r="A39" s="12"/>
      <c r="B39" s="12"/>
      <c r="C39" s="12"/>
      <c r="D39" s="12"/>
      <c r="E39" s="12"/>
      <c r="F39" s="12"/>
      <c r="G39" s="12"/>
      <c r="H39" s="2" t="s">
        <v>6</v>
      </c>
      <c r="I39" s="13" t="s">
        <v>7</v>
      </c>
      <c r="J39" s="13" t="s">
        <v>8</v>
      </c>
      <c r="K39" s="13">
        <v>37</v>
      </c>
      <c r="L39" s="12"/>
      <c r="M39" s="28" t="s">
        <v>10</v>
      </c>
      <c r="N39" s="29"/>
      <c r="O39" s="12"/>
      <c r="P39" s="2" t="s">
        <v>6</v>
      </c>
      <c r="Q39" s="13" t="s">
        <v>7</v>
      </c>
      <c r="R39" s="13" t="s">
        <v>8</v>
      </c>
      <c r="S39" s="13" t="s">
        <v>9</v>
      </c>
      <c r="T39" s="12"/>
      <c r="U39" s="28" t="s">
        <v>10</v>
      </c>
      <c r="V39" s="29"/>
    </row>
    <row r="40" spans="1:22" x14ac:dyDescent="0.2">
      <c r="A40" s="12"/>
      <c r="B40" s="12"/>
      <c r="C40" s="12"/>
      <c r="D40" s="12"/>
      <c r="E40" s="12"/>
      <c r="F40" s="12"/>
      <c r="G40" s="12"/>
      <c r="H40" s="3" t="s">
        <v>11</v>
      </c>
      <c r="I40" s="14">
        <v>36</v>
      </c>
      <c r="J40" s="14">
        <v>36.4</v>
      </c>
      <c r="K40" s="14">
        <v>36.799999999999997</v>
      </c>
      <c r="L40" s="12"/>
      <c r="M40" s="3" t="s">
        <v>12</v>
      </c>
      <c r="N40" s="15">
        <v>48.8</v>
      </c>
      <c r="O40" s="12"/>
      <c r="P40" s="3" t="s">
        <v>11</v>
      </c>
      <c r="Q40" s="14">
        <v>857.7</v>
      </c>
      <c r="R40" s="14">
        <v>870.9</v>
      </c>
      <c r="S40" s="14">
        <v>863.4</v>
      </c>
      <c r="T40" s="12"/>
      <c r="U40" s="3" t="s">
        <v>12</v>
      </c>
      <c r="V40" s="15">
        <v>981.9</v>
      </c>
    </row>
    <row r="41" spans="1:22" x14ac:dyDescent="0.2">
      <c r="A41" s="12"/>
      <c r="B41" s="12"/>
      <c r="C41" s="12"/>
      <c r="D41" s="12"/>
      <c r="E41" s="12"/>
      <c r="F41" s="12"/>
      <c r="G41" s="12"/>
      <c r="H41" s="16" t="s">
        <v>13</v>
      </c>
      <c r="I41" s="17">
        <v>35.6</v>
      </c>
      <c r="J41" s="17">
        <v>37.200000000000003</v>
      </c>
      <c r="K41" s="17">
        <v>37.799999999999997</v>
      </c>
      <c r="L41" s="12"/>
      <c r="M41" s="16" t="s">
        <v>14</v>
      </c>
      <c r="N41" s="18">
        <v>46.7</v>
      </c>
      <c r="O41" s="12"/>
      <c r="P41" s="16" t="s">
        <v>13</v>
      </c>
      <c r="Q41" s="17">
        <v>880.6</v>
      </c>
      <c r="R41" s="17">
        <v>870.2</v>
      </c>
      <c r="S41" s="17">
        <v>863.4</v>
      </c>
      <c r="T41" s="12"/>
      <c r="U41" s="16" t="s">
        <v>14</v>
      </c>
      <c r="V41" s="18">
        <v>943.6</v>
      </c>
    </row>
    <row r="42" spans="1:22" x14ac:dyDescent="0.2">
      <c r="A42" s="12"/>
      <c r="B42" s="12"/>
      <c r="C42" s="12"/>
      <c r="D42" s="12"/>
      <c r="E42" s="12"/>
      <c r="F42" s="12"/>
      <c r="G42" s="12"/>
      <c r="H42" s="16" t="s">
        <v>15</v>
      </c>
      <c r="I42" s="17">
        <v>34.5</v>
      </c>
      <c r="J42" s="17">
        <v>36.299999999999997</v>
      </c>
      <c r="K42" s="17">
        <v>36.6</v>
      </c>
      <c r="L42" s="12"/>
      <c r="M42" s="16" t="s">
        <v>16</v>
      </c>
      <c r="N42" s="18">
        <v>52</v>
      </c>
      <c r="O42" s="12"/>
      <c r="P42" s="16" t="s">
        <v>15</v>
      </c>
      <c r="Q42" s="17">
        <v>874</v>
      </c>
      <c r="R42" s="17">
        <v>882.5</v>
      </c>
      <c r="S42" s="17">
        <v>868.7</v>
      </c>
      <c r="T42" s="12"/>
      <c r="U42" s="16" t="s">
        <v>16</v>
      </c>
      <c r="V42" s="18">
        <v>1040</v>
      </c>
    </row>
    <row r="43" spans="1:22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6" t="s">
        <v>17</v>
      </c>
      <c r="N43" s="18">
        <v>5.3</v>
      </c>
      <c r="O43" s="12"/>
      <c r="P43" s="12"/>
      <c r="Q43" s="12"/>
      <c r="R43" s="12"/>
      <c r="S43" s="12"/>
      <c r="T43" s="12"/>
      <c r="U43" s="16" t="s">
        <v>17</v>
      </c>
      <c r="V43" s="18">
        <v>96.4</v>
      </c>
    </row>
    <row r="44" spans="1:22" x14ac:dyDescent="0.2">
      <c r="A44" s="12"/>
      <c r="B44" s="12"/>
      <c r="C44" s="12"/>
      <c r="D44" s="12"/>
      <c r="E44" s="12"/>
      <c r="F44" s="12"/>
      <c r="G44" s="12"/>
      <c r="H44" s="6" t="s">
        <v>18</v>
      </c>
      <c r="I44" s="6"/>
      <c r="J44" s="6"/>
      <c r="K44" s="12"/>
      <c r="L44" s="12"/>
      <c r="M44" s="19" t="s">
        <v>19</v>
      </c>
      <c r="N44" s="20">
        <v>1.5</v>
      </c>
      <c r="O44" s="12"/>
      <c r="P44" s="12"/>
      <c r="Q44" s="12"/>
      <c r="R44" s="12"/>
      <c r="S44" s="12"/>
      <c r="T44" s="12"/>
      <c r="U44" s="19" t="s">
        <v>20</v>
      </c>
      <c r="V44" s="20">
        <v>4.9000000000000004</v>
      </c>
    </row>
    <row r="45" spans="1:22" x14ac:dyDescent="0.2">
      <c r="A45" s="12"/>
      <c r="B45" s="12"/>
      <c r="C45" s="12"/>
      <c r="D45" s="12"/>
      <c r="E45" s="12"/>
      <c r="F45" s="12"/>
      <c r="G45" s="12"/>
      <c r="H45" s="9" t="s">
        <v>21</v>
      </c>
      <c r="I45" s="9"/>
      <c r="J45" s="30" t="s">
        <v>22</v>
      </c>
      <c r="K45" s="31"/>
      <c r="L45" s="31"/>
      <c r="M45" s="31"/>
      <c r="N45" s="32"/>
      <c r="O45" s="12"/>
      <c r="P45" s="12"/>
      <c r="Q45" s="12"/>
      <c r="R45" s="12"/>
      <c r="S45" s="12"/>
      <c r="T45" s="12"/>
      <c r="U45" s="12"/>
      <c r="V45" s="12"/>
    </row>
    <row r="46" spans="1:22" x14ac:dyDescent="0.2">
      <c r="A46" s="12"/>
      <c r="B46" s="12"/>
      <c r="C46" s="12"/>
      <c r="D46" s="12"/>
      <c r="E46" s="12"/>
      <c r="F46" s="12"/>
      <c r="G46" s="12"/>
      <c r="H46" s="9" t="s">
        <v>23</v>
      </c>
      <c r="I46" s="12"/>
      <c r="J46" s="30"/>
      <c r="K46" s="31"/>
      <c r="L46" s="31"/>
      <c r="M46" s="31"/>
      <c r="N46" s="32"/>
      <c r="O46" s="12"/>
      <c r="P46" s="12"/>
      <c r="Q46" s="12"/>
      <c r="R46" s="12"/>
      <c r="S46" s="12"/>
      <c r="T46" s="12"/>
      <c r="U46" s="12"/>
      <c r="V46" s="12"/>
    </row>
    <row r="47" spans="1:22" x14ac:dyDescent="0.2">
      <c r="A47" s="12"/>
      <c r="B47" s="12"/>
      <c r="C47" s="12"/>
      <c r="D47" s="12"/>
      <c r="E47" s="12"/>
      <c r="F47" s="12"/>
      <c r="G47" s="12"/>
      <c r="H47" s="9" t="s">
        <v>24</v>
      </c>
      <c r="I47" s="9"/>
      <c r="J47" s="30"/>
      <c r="K47" s="31"/>
      <c r="L47" s="31"/>
      <c r="M47" s="31"/>
      <c r="N47" s="32"/>
      <c r="O47" s="12"/>
      <c r="P47" s="12"/>
      <c r="Q47" s="12"/>
      <c r="R47" s="12"/>
      <c r="S47" s="12"/>
      <c r="T47" s="12"/>
      <c r="U47" s="12"/>
      <c r="V47" s="12"/>
    </row>
    <row r="48" spans="1:22" x14ac:dyDescent="0.2">
      <c r="A48" s="12"/>
      <c r="B48" s="12"/>
      <c r="C48" s="12"/>
      <c r="D48" s="12"/>
      <c r="E48" s="12"/>
      <c r="F48" s="12"/>
      <c r="G48" s="12"/>
      <c r="H48" s="9" t="s">
        <v>25</v>
      </c>
      <c r="I48" s="9"/>
      <c r="J48" s="30" t="s">
        <v>26</v>
      </c>
      <c r="K48" s="31"/>
      <c r="L48" s="31"/>
      <c r="M48" s="31"/>
      <c r="N48" s="32"/>
      <c r="O48" s="12"/>
      <c r="P48" s="12"/>
      <c r="Q48" s="12"/>
      <c r="R48" s="12"/>
      <c r="S48" s="12"/>
      <c r="T48" s="12"/>
      <c r="U48" s="12"/>
      <c r="V48" s="12"/>
    </row>
    <row r="49" spans="1:22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1:22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1:22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1:22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1:22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22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1:22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1:22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1:22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1:22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1:22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1:22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1:22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1:22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1:22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1:22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1:22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1:22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1:22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1:22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1:22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1:22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1:22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1:22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1:22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1:22" x14ac:dyDescent="0.2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</sheetData>
  <mergeCells count="8">
    <mergeCell ref="J46:N46"/>
    <mergeCell ref="J47:N47"/>
    <mergeCell ref="J48:N48"/>
    <mergeCell ref="H38:K38"/>
    <mergeCell ref="P38:S38"/>
    <mergeCell ref="M39:N39"/>
    <mergeCell ref="U39:V39"/>
    <mergeCell ref="J45:N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baseline 11h30</vt:lpstr>
      <vt:lpstr>baseline 12h00</vt:lpstr>
      <vt:lpstr>shading col1row1 with cardboard</vt:lpstr>
      <vt:lpstr>shading col1row1 with paper</vt:lpstr>
      <vt:lpstr>shading col2row1 with paper </vt:lpstr>
      <vt:lpstr>shading col3row1 with paper </vt:lpstr>
      <vt:lpstr>baseline 12h50</vt:lpstr>
      <vt:lpstr>bypass diode test</vt:lpstr>
      <vt:lpstr>shading 50% col1row1 with paper</vt:lpstr>
      <vt:lpstr>baseline 16h00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2026-10-07T09:20:43Z</dcterms:created>
  <dcterms:modified xsi:type="dcterms:W3CDTF">2026-10-19T07:42:28Z</dcterms:modified>
</cp:coreProperties>
</file>