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rtial Shading /partial shading outside panel sunlight 7Oct/"/>
    </mc:Choice>
  </mc:AlternateContent>
  <xr:revisionPtr revIDLastSave="0" documentId="8_{C9F05A6E-78FC-CA4E-A77D-7985D88233B8}" xr6:coauthVersionLast="47" xr6:coauthVersionMax="47" xr10:uidLastSave="{00000000-0000-0000-0000-000000000000}"/>
  <bookViews>
    <workbookView xWindow="1080" yWindow="1240" windowWidth="27640" windowHeight="16580" xr2:uid="{9B2EB442-31C9-C24B-9A64-E8A57080F453}"/>
  </bookViews>
  <sheets>
    <sheet name="shading col1row1 with cardboard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4" i="1" l="1"/>
  <c r="N42" i="1"/>
  <c r="N43" i="1" s="1"/>
  <c r="N41" i="1"/>
  <c r="N40" i="1"/>
</calcChain>
</file>

<file path=xl/sharedStrings.xml><?xml version="1.0" encoding="utf-8"?>
<sst xmlns="http://schemas.openxmlformats.org/spreadsheetml/2006/main" count="34" uniqueCount="27">
  <si>
    <t>Resistance </t>
  </si>
  <si>
    <t>Voltage </t>
  </si>
  <si>
    <t>Current </t>
  </si>
  <si>
    <t>open</t>
  </si>
  <si>
    <t xml:space="preserve"> </t>
  </si>
  <si>
    <t>20260819-E02 – Temperature Grid (°C)</t>
  </si>
  <si>
    <t>20260819-E02 – Irradiance Grid (W/m²)</t>
  </si>
  <si>
    <t>Position</t>
  </si>
  <si>
    <t>Left</t>
  </si>
  <si>
    <t>Centre</t>
  </si>
  <si>
    <t>Right</t>
  </si>
  <si>
    <t>Metric</t>
  </si>
  <si>
    <t>Top</t>
  </si>
  <si>
    <t>Average</t>
  </si>
  <si>
    <t>Middle</t>
  </si>
  <si>
    <t>Minimum</t>
  </si>
  <si>
    <t>Bottom</t>
  </si>
  <si>
    <t>Maximum</t>
  </si>
  <si>
    <t>Range</t>
  </si>
  <si>
    <t>ENVIRONMENTAL &amp; TEST CONDITIONS:</t>
  </si>
  <si>
    <t>Std</t>
  </si>
  <si>
    <t>Lamp Distance (cm):</t>
  </si>
  <si>
    <t xml:space="preserve">outside </t>
  </si>
  <si>
    <t>Fan Condition:</t>
  </si>
  <si>
    <t>Window Condition:</t>
  </si>
  <si>
    <t>Test Purpose / Notes: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</si>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</sst>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48A"/>
        <bgColor rgb="FF2B548A"/>
      </patternFill>
    </fill>
    <fill>
      <patternFill patternType="solid">
        <fgColor rgb="FFFFF9E6"/>
        <bgColor rgb="FFFFF9E6"/>
      </patternFill>
    </fill>
  </fills>
  <borders count="3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0" fillId="0" borderId="2" xfId="0" applyNumberForma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3" fillId="0" borderId="0" xfId="0" applyFont="1"/>
    <xf numFmtId="0" fontId="5" fillId="0" borderId="0" xfId="0" applyFont="1"/>
    <xf numFmtId="164" fontId="0" fillId="0" borderId="0" xfId="0" applyNumberFormat="1"/>
    <xf numFmtId="0" fontId="3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col1row1 with cardboard'!$C$1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col1row1 with cardboard'!$B$2:$B$29</c:f>
              <c:numCache>
                <c:formatCode>General</c:formatCode>
                <c:ptCount val="28"/>
                <c:pt idx="0">
                  <c:v>0.24</c:v>
                </c:pt>
                <c:pt idx="1">
                  <c:v>0.3</c:v>
                </c:pt>
                <c:pt idx="2">
                  <c:v>0.36</c:v>
                </c:pt>
                <c:pt idx="3">
                  <c:v>0.47</c:v>
                </c:pt>
                <c:pt idx="4">
                  <c:v>0.53</c:v>
                </c:pt>
                <c:pt idx="5">
                  <c:v>0.7</c:v>
                </c:pt>
                <c:pt idx="6">
                  <c:v>0.81</c:v>
                </c:pt>
                <c:pt idx="7">
                  <c:v>0.92</c:v>
                </c:pt>
                <c:pt idx="8">
                  <c:v>1.03</c:v>
                </c:pt>
                <c:pt idx="9">
                  <c:v>1.1399999999999999</c:v>
                </c:pt>
                <c:pt idx="10">
                  <c:v>1.25</c:v>
                </c:pt>
                <c:pt idx="11">
                  <c:v>1.35</c:v>
                </c:pt>
                <c:pt idx="12">
                  <c:v>1.47</c:v>
                </c:pt>
                <c:pt idx="13">
                  <c:v>2.19</c:v>
                </c:pt>
                <c:pt idx="14">
                  <c:v>3.19</c:v>
                </c:pt>
                <c:pt idx="15">
                  <c:v>4.1399999999999997</c:v>
                </c:pt>
                <c:pt idx="16">
                  <c:v>5.04</c:v>
                </c:pt>
                <c:pt idx="17">
                  <c:v>5.93</c:v>
                </c:pt>
                <c:pt idx="18">
                  <c:v>6.79</c:v>
                </c:pt>
                <c:pt idx="19">
                  <c:v>9.2100000000000009</c:v>
                </c:pt>
                <c:pt idx="20">
                  <c:v>10.77</c:v>
                </c:pt>
                <c:pt idx="21">
                  <c:v>12.82</c:v>
                </c:pt>
                <c:pt idx="22">
                  <c:v>14.67</c:v>
                </c:pt>
                <c:pt idx="23">
                  <c:v>15.61</c:v>
                </c:pt>
                <c:pt idx="24">
                  <c:v>21.32</c:v>
                </c:pt>
                <c:pt idx="25">
                  <c:v>22</c:v>
                </c:pt>
                <c:pt idx="26">
                  <c:v>22.08</c:v>
                </c:pt>
                <c:pt idx="27">
                  <c:v>22.2</c:v>
                </c:pt>
              </c:numCache>
            </c:numRef>
          </c:xVal>
          <c:yVal>
            <c:numRef>
              <c:f>'shading col1row1 with cardboard'!$C$2:$C$29</c:f>
              <c:numCache>
                <c:formatCode>General</c:formatCode>
                <c:ptCount val="28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0.11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0.09</c:v>
                </c:pt>
                <c:pt idx="20">
                  <c:v>0.09</c:v>
                </c:pt>
                <c:pt idx="21">
                  <c:v>0.09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7.0000000000000007E-2</c:v>
                </c:pt>
                <c:pt idx="26">
                  <c:v>0.05</c:v>
                </c:pt>
                <c:pt idx="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D3-4047-BDF6-D618CD19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135456"/>
        <c:axId val="400232848"/>
      </c:scatterChart>
      <c:valAx>
        <c:axId val="77513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32848"/>
        <c:crosses val="autoZero"/>
        <c:crossBetween val="midCat"/>
      </c:valAx>
      <c:valAx>
        <c:axId val="4002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13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355600</xdr:colOff>
      <xdr:row>9</xdr:row>
      <xdr:rowOff>31750</xdr:rowOff>
    </xdr:from>
    <xdr:to>
      <xdr:col>13</xdr:col>
      <xdr:colOff>800100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5981A8-3850-5B40-90EB-9A1ACEED4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PV_outside_PS_7Oct.xlsx" TargetMode="External"/><Relationship Id="rId2" Type="http://schemas.openxmlformats.org/officeDocument/2006/relationships/externalLinkPath" Target="/Users/pearlmothiba/Downloads/PV_outside_PS_7Oct.xlsx" TargetMode="External"/><Relationship Id="rId1" Type="http://schemas.openxmlformats.org/officeDocument/2006/relationships/externalLinkPath" Target="/Users/pearlmothiba/Downloads/PV_outside_PS_7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line 11h30"/>
      <sheetName val="baseline 12h00"/>
      <sheetName val="shading col1row1 with cardboard"/>
      <sheetName val="shading col1row1 with paper"/>
      <sheetName val="shading col2row1 with paper "/>
      <sheetName val="shading col3row1 with paper "/>
      <sheetName val="baseline 12h50"/>
      <sheetName val="Sheet8"/>
      <sheetName val="shading 50% col1row1 with paper"/>
      <sheetName val="baseline 16h00"/>
    </sheetNames>
    <sheetDataSet>
      <sheetData sheetId="0"/>
      <sheetData sheetId="1"/>
      <sheetData sheetId="2">
        <row r="1">
          <cell r="C1" t="str">
            <v>Current </v>
          </cell>
        </row>
        <row r="2">
          <cell r="B2">
            <v>0.24</v>
          </cell>
          <cell r="C2">
            <v>0.11</v>
          </cell>
        </row>
        <row r="3">
          <cell r="B3">
            <v>0.3</v>
          </cell>
          <cell r="C3">
            <v>0.11</v>
          </cell>
        </row>
        <row r="4">
          <cell r="B4">
            <v>0.36</v>
          </cell>
          <cell r="C4">
            <v>0.11</v>
          </cell>
        </row>
        <row r="5">
          <cell r="B5">
            <v>0.47</v>
          </cell>
          <cell r="C5">
            <v>0.11</v>
          </cell>
        </row>
        <row r="6">
          <cell r="B6">
            <v>0.53</v>
          </cell>
          <cell r="C6">
            <v>0.11</v>
          </cell>
        </row>
        <row r="7">
          <cell r="B7">
            <v>0.7</v>
          </cell>
          <cell r="C7">
            <v>0.11</v>
          </cell>
        </row>
        <row r="8">
          <cell r="B8">
            <v>0.81</v>
          </cell>
          <cell r="C8">
            <v>0.11</v>
          </cell>
        </row>
        <row r="9">
          <cell r="B9">
            <v>0.92</v>
          </cell>
          <cell r="C9">
            <v>0.11</v>
          </cell>
        </row>
        <row r="10">
          <cell r="B10">
            <v>1.03</v>
          </cell>
          <cell r="C10">
            <v>0.11</v>
          </cell>
        </row>
        <row r="11">
          <cell r="B11">
            <v>1.1399999999999999</v>
          </cell>
          <cell r="C11">
            <v>0.11</v>
          </cell>
        </row>
        <row r="12">
          <cell r="B12">
            <v>1.25</v>
          </cell>
          <cell r="C12">
            <v>0.11</v>
          </cell>
        </row>
        <row r="13">
          <cell r="B13">
            <v>1.35</v>
          </cell>
          <cell r="C13">
            <v>0.11</v>
          </cell>
        </row>
        <row r="14">
          <cell r="B14">
            <v>1.47</v>
          </cell>
          <cell r="C14">
            <v>0.11</v>
          </cell>
        </row>
        <row r="15">
          <cell r="B15">
            <v>2.19</v>
          </cell>
          <cell r="C15">
            <v>0.11</v>
          </cell>
        </row>
        <row r="16">
          <cell r="B16">
            <v>3.19</v>
          </cell>
          <cell r="C16">
            <v>0.1</v>
          </cell>
        </row>
        <row r="17">
          <cell r="B17">
            <v>4.1399999999999997</v>
          </cell>
          <cell r="C17">
            <v>0.1</v>
          </cell>
        </row>
        <row r="18">
          <cell r="B18">
            <v>5.04</v>
          </cell>
          <cell r="C18">
            <v>0.1</v>
          </cell>
        </row>
        <row r="19">
          <cell r="B19">
            <v>5.93</v>
          </cell>
          <cell r="C19">
            <v>0.1</v>
          </cell>
        </row>
        <row r="20">
          <cell r="B20">
            <v>6.79</v>
          </cell>
          <cell r="C20">
            <v>0.1</v>
          </cell>
        </row>
        <row r="21">
          <cell r="B21">
            <v>9.2100000000000009</v>
          </cell>
          <cell r="C21">
            <v>0.09</v>
          </cell>
        </row>
        <row r="22">
          <cell r="B22">
            <v>10.77</v>
          </cell>
          <cell r="C22">
            <v>0.09</v>
          </cell>
        </row>
        <row r="23">
          <cell r="B23">
            <v>12.82</v>
          </cell>
          <cell r="C23">
            <v>0.09</v>
          </cell>
        </row>
        <row r="24">
          <cell r="B24">
            <v>14.67</v>
          </cell>
          <cell r="C24">
            <v>0.08</v>
          </cell>
        </row>
        <row r="25">
          <cell r="B25">
            <v>15.61</v>
          </cell>
          <cell r="C25">
            <v>0.08</v>
          </cell>
        </row>
        <row r="26">
          <cell r="B26">
            <v>21.32</v>
          </cell>
          <cell r="C26">
            <v>0.08</v>
          </cell>
        </row>
        <row r="27">
          <cell r="B27">
            <v>22</v>
          </cell>
          <cell r="C27">
            <v>7.0000000000000007E-2</v>
          </cell>
        </row>
        <row r="28">
          <cell r="B28">
            <v>22.08</v>
          </cell>
          <cell r="C28">
            <v>0.05</v>
          </cell>
        </row>
        <row r="29">
          <cell r="B29">
            <v>22.2</v>
          </cell>
          <cell r="C2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D7F-5C85-024B-8A90-D2231CA5ECB6}">
  <dimension ref="A1:S48"/>
  <sheetViews>
    <sheetView tabSelected="1" workbookViewId="0">
      <selection activeCell="H31" sqref="H3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0.24</v>
      </c>
      <c r="C2" s="1">
        <v>0.11</v>
      </c>
    </row>
    <row r="3" spans="1:3" x14ac:dyDescent="0.2">
      <c r="A3" s="1">
        <v>2.5</v>
      </c>
      <c r="B3" s="1">
        <v>0.3</v>
      </c>
      <c r="C3" s="1">
        <v>0.11</v>
      </c>
    </row>
    <row r="4" spans="1:3" x14ac:dyDescent="0.2">
      <c r="A4" s="1">
        <v>3</v>
      </c>
      <c r="B4" s="1">
        <v>0.36</v>
      </c>
      <c r="C4" s="1">
        <v>0.11</v>
      </c>
    </row>
    <row r="5" spans="1:3" x14ac:dyDescent="0.2">
      <c r="A5" s="1">
        <v>4</v>
      </c>
      <c r="B5" s="1">
        <v>0.47</v>
      </c>
      <c r="C5" s="1">
        <v>0.11</v>
      </c>
    </row>
    <row r="6" spans="1:3" x14ac:dyDescent="0.2">
      <c r="A6" s="1">
        <v>5</v>
      </c>
      <c r="B6" s="1">
        <v>0.53</v>
      </c>
      <c r="C6" s="1">
        <v>0.11</v>
      </c>
    </row>
    <row r="7" spans="1:3" x14ac:dyDescent="0.2">
      <c r="A7" s="1">
        <v>6</v>
      </c>
      <c r="B7" s="1">
        <v>0.7</v>
      </c>
      <c r="C7" s="1">
        <v>0.11</v>
      </c>
    </row>
    <row r="8" spans="1:3" x14ac:dyDescent="0.2">
      <c r="A8" s="1">
        <v>7</v>
      </c>
      <c r="B8" s="1">
        <v>0.81</v>
      </c>
      <c r="C8" s="1">
        <v>0.11</v>
      </c>
    </row>
    <row r="9" spans="1:3" x14ac:dyDescent="0.2">
      <c r="A9" s="1">
        <v>8</v>
      </c>
      <c r="B9" s="1">
        <v>0.92</v>
      </c>
      <c r="C9" s="1">
        <v>0.11</v>
      </c>
    </row>
    <row r="10" spans="1:3" x14ac:dyDescent="0.2">
      <c r="A10" s="1">
        <v>9</v>
      </c>
      <c r="B10" s="1">
        <v>1.03</v>
      </c>
      <c r="C10" s="1">
        <v>0.11</v>
      </c>
    </row>
    <row r="11" spans="1:3" x14ac:dyDescent="0.2">
      <c r="A11" s="1">
        <v>10</v>
      </c>
      <c r="B11" s="1">
        <v>1.1399999999999999</v>
      </c>
      <c r="C11" s="1">
        <v>0.11</v>
      </c>
    </row>
    <row r="12" spans="1:3" x14ac:dyDescent="0.2">
      <c r="A12" s="1">
        <v>11</v>
      </c>
      <c r="B12" s="1">
        <v>1.25</v>
      </c>
      <c r="C12" s="1">
        <v>0.11</v>
      </c>
    </row>
    <row r="13" spans="1:3" x14ac:dyDescent="0.2">
      <c r="A13" s="1">
        <v>12</v>
      </c>
      <c r="B13" s="1">
        <v>1.35</v>
      </c>
      <c r="C13" s="1">
        <v>0.11</v>
      </c>
    </row>
    <row r="14" spans="1:3" x14ac:dyDescent="0.2">
      <c r="A14" s="1">
        <v>13</v>
      </c>
      <c r="B14" s="1">
        <v>1.47</v>
      </c>
      <c r="C14" s="1">
        <v>0.11</v>
      </c>
    </row>
    <row r="15" spans="1:3" x14ac:dyDescent="0.2">
      <c r="A15" s="1">
        <v>20</v>
      </c>
      <c r="B15" s="1">
        <v>2.19</v>
      </c>
      <c r="C15" s="1">
        <v>0.11</v>
      </c>
    </row>
    <row r="16" spans="1:3" x14ac:dyDescent="0.2">
      <c r="A16" s="1">
        <v>30</v>
      </c>
      <c r="B16" s="1">
        <v>3.19</v>
      </c>
      <c r="C16" s="1">
        <v>0.1</v>
      </c>
    </row>
    <row r="17" spans="1:5" x14ac:dyDescent="0.2">
      <c r="A17" s="1">
        <v>40</v>
      </c>
      <c r="B17" s="1">
        <v>4.1399999999999997</v>
      </c>
      <c r="C17" s="1">
        <v>0.1</v>
      </c>
    </row>
    <row r="18" spans="1:5" x14ac:dyDescent="0.2">
      <c r="A18" s="1">
        <v>50</v>
      </c>
      <c r="B18" s="1">
        <v>5.04</v>
      </c>
      <c r="C18" s="1">
        <v>0.1</v>
      </c>
    </row>
    <row r="19" spans="1:5" x14ac:dyDescent="0.2">
      <c r="A19" s="1">
        <v>60</v>
      </c>
      <c r="B19" s="1">
        <v>5.93</v>
      </c>
      <c r="C19" s="1">
        <v>0.1</v>
      </c>
    </row>
    <row r="20" spans="1:5" x14ac:dyDescent="0.2">
      <c r="A20" s="1">
        <v>70</v>
      </c>
      <c r="B20" s="1">
        <v>6.79</v>
      </c>
      <c r="C20" s="1">
        <v>0.1</v>
      </c>
    </row>
    <row r="21" spans="1:5" x14ac:dyDescent="0.2">
      <c r="A21" s="1">
        <v>100</v>
      </c>
      <c r="B21" s="1">
        <v>9.2100000000000009</v>
      </c>
      <c r="C21" s="1">
        <v>0.09</v>
      </c>
    </row>
    <row r="22" spans="1:5" x14ac:dyDescent="0.2">
      <c r="A22" s="1">
        <v>120</v>
      </c>
      <c r="B22" s="1">
        <v>10.77</v>
      </c>
      <c r="C22" s="1">
        <v>0.09</v>
      </c>
    </row>
    <row r="23" spans="1:5" x14ac:dyDescent="0.2">
      <c r="A23" s="1">
        <v>150</v>
      </c>
      <c r="B23" s="1">
        <v>12.82</v>
      </c>
      <c r="C23" s="1">
        <v>0.09</v>
      </c>
    </row>
    <row r="24" spans="1:5" x14ac:dyDescent="0.2">
      <c r="A24" s="1">
        <v>180</v>
      </c>
      <c r="B24" s="1">
        <v>14.67</v>
      </c>
      <c r="C24" s="1">
        <v>0.08</v>
      </c>
    </row>
    <row r="25" spans="1:5" x14ac:dyDescent="0.2">
      <c r="A25" s="1">
        <v>200</v>
      </c>
      <c r="B25" s="1">
        <v>15.61</v>
      </c>
      <c r="C25" s="1">
        <v>0.08</v>
      </c>
    </row>
    <row r="26" spans="1:5" x14ac:dyDescent="0.2">
      <c r="A26" s="1">
        <v>250</v>
      </c>
      <c r="B26" s="1">
        <v>21.32</v>
      </c>
      <c r="C26" s="1">
        <v>0.08</v>
      </c>
    </row>
    <row r="27" spans="1:5" x14ac:dyDescent="0.2">
      <c r="A27" s="1">
        <v>300</v>
      </c>
      <c r="B27" s="1">
        <v>22</v>
      </c>
      <c r="C27" s="1">
        <v>7.0000000000000007E-2</v>
      </c>
    </row>
    <row r="28" spans="1:5" x14ac:dyDescent="0.2">
      <c r="A28" s="1">
        <v>400</v>
      </c>
      <c r="B28" s="1">
        <v>22.08</v>
      </c>
      <c r="C28" s="1">
        <v>0.05</v>
      </c>
    </row>
    <row r="29" spans="1:5" x14ac:dyDescent="0.2">
      <c r="A29" t="s">
        <v>3</v>
      </c>
      <c r="B29" s="1">
        <v>22.2</v>
      </c>
      <c r="C29" s="1">
        <v>0</v>
      </c>
      <c r="E29" t="s">
        <v>4</v>
      </c>
    </row>
    <row r="38" spans="8:19" x14ac:dyDescent="0.2">
      <c r="H38" s="2" t="s">
        <v>5</v>
      </c>
      <c r="I38" s="3"/>
      <c r="J38" s="3"/>
      <c r="K38" s="3"/>
      <c r="P38" s="2" t="s">
        <v>6</v>
      </c>
      <c r="Q38" s="3"/>
      <c r="R38" s="3"/>
      <c r="S38" s="3"/>
    </row>
    <row r="39" spans="8:19" x14ac:dyDescent="0.2">
      <c r="H39" s="4" t="s">
        <v>7</v>
      </c>
      <c r="I39" s="4" t="s">
        <v>8</v>
      </c>
      <c r="J39" s="4" t="s">
        <v>9</v>
      </c>
      <c r="K39" s="4" t="s">
        <v>10</v>
      </c>
      <c r="M39" s="5" t="s">
        <v>11</v>
      </c>
      <c r="N39" s="3"/>
      <c r="P39" s="4" t="s">
        <v>7</v>
      </c>
      <c r="Q39" s="4" t="s">
        <v>8</v>
      </c>
      <c r="R39" s="4" t="s">
        <v>9</v>
      </c>
      <c r="S39" s="4" t="s">
        <v>10</v>
      </c>
    </row>
    <row r="40" spans="8:19" x14ac:dyDescent="0.2">
      <c r="H40" s="6" t="s">
        <v>12</v>
      </c>
      <c r="I40" s="7"/>
      <c r="J40" s="7"/>
      <c r="K40" s="7"/>
      <c r="M40" s="6" t="s">
        <v>13</v>
      </c>
      <c r="N40" s="8" t="e">
        <f>AVERAGE(I40:K42)</f>
        <v>#DIV/0!</v>
      </c>
      <c r="P40" s="6" t="s">
        <v>12</v>
      </c>
      <c r="Q40" s="7"/>
      <c r="R40" s="7"/>
      <c r="S40" s="7"/>
    </row>
    <row r="41" spans="8:19" x14ac:dyDescent="0.2">
      <c r="H41" s="6" t="s">
        <v>14</v>
      </c>
      <c r="I41" s="7"/>
      <c r="J41" s="7"/>
      <c r="K41" s="7"/>
      <c r="M41" s="6" t="s">
        <v>15</v>
      </c>
      <c r="N41" s="8">
        <f>MIN(I40:K42)</f>
        <v>0</v>
      </c>
      <c r="P41" s="6" t="s">
        <v>14</v>
      </c>
      <c r="Q41" s="7"/>
      <c r="R41" s="7"/>
      <c r="S41" s="7"/>
    </row>
    <row r="42" spans="8:19" x14ac:dyDescent="0.2">
      <c r="H42" s="6" t="s">
        <v>16</v>
      </c>
      <c r="I42" s="7"/>
      <c r="J42" s="7"/>
      <c r="K42" s="7"/>
      <c r="M42" s="6" t="s">
        <v>17</v>
      </c>
      <c r="N42" s="8">
        <f>MAX(I40:K42)</f>
        <v>0</v>
      </c>
      <c r="P42" s="6" t="s">
        <v>16</v>
      </c>
      <c r="Q42" s="7"/>
      <c r="R42" s="7"/>
      <c r="S42" s="7"/>
    </row>
    <row r="43" spans="8:19" x14ac:dyDescent="0.2">
      <c r="M43" s="6" t="s">
        <v>18</v>
      </c>
      <c r="N43" s="8">
        <f>N42-N41</f>
        <v>0</v>
      </c>
    </row>
    <row r="44" spans="8:19" x14ac:dyDescent="0.2">
      <c r="H44" s="9" t="s">
        <v>19</v>
      </c>
      <c r="M44" s="10" t="s">
        <v>20</v>
      </c>
      <c r="N44" s="11" t="e">
        <f>_xlfn.STDEV.S(I40:K42)</f>
        <v>#DIV/0!</v>
      </c>
    </row>
    <row r="45" spans="8:19" x14ac:dyDescent="0.2">
      <c r="H45" s="12" t="s">
        <v>21</v>
      </c>
      <c r="J45" s="13" t="s">
        <v>22</v>
      </c>
      <c r="K45" s="14"/>
      <c r="L45" s="14"/>
      <c r="M45" s="14"/>
      <c r="N45" s="14"/>
    </row>
    <row r="46" spans="8:19" x14ac:dyDescent="0.2">
      <c r="H46" s="12" t="s">
        <v>23</v>
      </c>
      <c r="J46" s="13"/>
      <c r="K46" s="14"/>
      <c r="L46" s="14"/>
      <c r="M46" s="14"/>
      <c r="N46" s="14"/>
    </row>
    <row r="47" spans="8:19" x14ac:dyDescent="0.2">
      <c r="H47" s="12" t="s">
        <v>24</v>
      </c>
      <c r="J47" s="13"/>
      <c r="K47" s="14"/>
      <c r="L47" s="14"/>
      <c r="M47" s="14"/>
      <c r="N47" s="14"/>
    </row>
    <row r="48" spans="8:19" x14ac:dyDescent="0.2">
      <c r="H48" s="12" t="s">
        <v>25</v>
      </c>
      <c r="J48" s="13" t="s">
        <v>26</v>
      </c>
      <c r="K48" s="14"/>
      <c r="L48" s="14"/>
      <c r="M48" s="14"/>
      <c r="N48" s="14"/>
    </row>
  </sheetData>
  <mergeCells count="7">
    <mergeCell ref="J48:N48"/>
    <mergeCell ref="H38:K38"/>
    <mergeCell ref="P38:S38"/>
    <mergeCell ref="M39:N39"/>
    <mergeCell ref="J45:N45"/>
    <mergeCell ref="J46:N46"/>
    <mergeCell ref="J47:N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shading col1row1 with cardboard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2026-10-07T14:32:54Z</dcterms:created>
  <dcterms:modified xsi:type="dcterms:W3CDTF">2026-10-07T14:33:14Z</dcterms:modified>
</cp:coreProperties>
</file>