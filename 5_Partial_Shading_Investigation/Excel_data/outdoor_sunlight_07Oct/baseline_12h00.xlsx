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rtial Shading /partial shading outside panel sunlight 7Oct/"/>
    </mc:Choice>
  </mc:AlternateContent>
  <xr:revisionPtr revIDLastSave="0" documentId="8_{1E83B40B-1087-6147-A76B-DDD9777DC4F8}" xr6:coauthVersionLast="47" xr6:coauthVersionMax="47" xr10:uidLastSave="{00000000-0000-0000-0000-000000000000}"/>
  <bookViews>
    <workbookView xWindow="1080" yWindow="1240" windowWidth="27640" windowHeight="16580" xr2:uid="{13AEE6E5-758F-EB42-A8E3-C90B461F26A7}"/>
  </bookViews>
  <sheets>
    <sheet name="baseline 12h00" sheetId="1" r:id="rId1"/>
  </sheets>
  <externalReferences>
    <externalReference r:id="rId2"/>
  </externalReferenc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44" i="1" l="1"/>
  <c r="N44" i="1"/>
  <c r="V42" i="1"/>
  <c r="V43" i="1" s="1"/>
  <c r="N42" i="1"/>
  <c r="N43" i="1" s="1"/>
  <c r="V41" i="1"/>
  <c r="N41" i="1"/>
  <c r="V40" i="1"/>
  <c r="N40" i="1"/>
</calcChain>
</file>

<file path=xl/sharedStrings.xml><?xml version="1.0" encoding="utf-8"?>
<sst xmlns="http://schemas.openxmlformats.org/spreadsheetml/2006/main" count="39" uniqueCount="27">
  <si>
    <t>Resistance </t>
  </si>
  <si>
    <t>Voltage </t>
  </si>
  <si>
    <t>Current </t>
  </si>
  <si>
    <t>open</t>
  </si>
  <si>
    <t>20260819-E02 – Temperature Grid (°C)</t>
  </si>
  <si>
    <t>20260819-E02 – Irradiance Grid (W/m²)</t>
  </si>
  <si>
    <t>Position</t>
  </si>
  <si>
    <t>Left</t>
  </si>
  <si>
    <t>Centre</t>
  </si>
  <si>
    <t>Right</t>
  </si>
  <si>
    <t>Metric</t>
  </si>
  <si>
    <t>Top</t>
  </si>
  <si>
    <t>Average</t>
  </si>
  <si>
    <t>Middle</t>
  </si>
  <si>
    <t>Minimum</t>
  </si>
  <si>
    <t>Bottom</t>
  </si>
  <si>
    <t>Maximum</t>
  </si>
  <si>
    <t>Range</t>
  </si>
  <si>
    <t>ENVIRONMENTAL &amp; TEST CONDITIONS:</t>
  </si>
  <si>
    <t>Std</t>
  </si>
  <si>
    <t>Uniform(%)</t>
  </si>
  <si>
    <t>Lamp Distance (cm):</t>
  </si>
  <si>
    <t xml:space="preserve">outside </t>
  </si>
  <si>
    <t>Fan Condition:</t>
  </si>
  <si>
    <t>Window Condition:</t>
  </si>
  <si>
    <t>Test Purpose / Notes: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</si>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</sst>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548A"/>
        <bgColor rgb="FF2B548A"/>
      </patternFill>
    </fill>
    <fill>
      <patternFill patternType="solid">
        <fgColor rgb="FFFFF9E6"/>
        <bgColor rgb="FFFFF9E6"/>
      </patternFill>
    </fill>
  </fills>
  <borders count="3">
    <border>
      <left/>
      <right/>
      <top/>
      <bottom/>
      <diagonal/>
    </border>
    <border>
      <left style="thin">
        <color rgb="FF1B365D"/>
      </left>
      <right style="thin">
        <color rgb="FF1B365D"/>
      </right>
      <top style="thin">
        <color rgb="FF1B365D"/>
      </top>
      <bottom style="thin">
        <color rgb="FF1B365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4" fontId="0" fillId="0" borderId="2" xfId="0" applyNumberFormat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0" fontId="3" fillId="0" borderId="0" xfId="0" applyFont="1"/>
    <xf numFmtId="0" fontId="5" fillId="0" borderId="0" xfId="0" applyFont="1"/>
    <xf numFmtId="164" fontId="0" fillId="0" borderId="0" xfId="0" applyNumberFormat="1"/>
    <xf numFmtId="0" fontId="3" fillId="0" borderId="0" xfId="0" applyFont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IV</a:t>
            </a:r>
            <a:r>
              <a:rPr lang="en-US" baseline="0"/>
              <a:t> CURVE </a:t>
            </a:r>
            <a:r>
              <a:rPr lang="en-US"/>
              <a:t> </a:t>
            </a:r>
          </a:p>
        </c:rich>
      </c:tx>
      <c:layout>
        <c:manualLayout>
          <c:xMode val="edge"/>
          <c:yMode val="edge"/>
          <c:x val="0.43175678040244964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76159230096239"/>
          <c:y val="0.29208333333333336"/>
          <c:w val="0.82490507436570426"/>
          <c:h val="0.623086541265675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'baseline 12h00'!$C$1</c:f>
              <c:strCache>
                <c:ptCount val="1"/>
                <c:pt idx="0">
                  <c:v>Current 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'baseline 12h00'!$B$2:$B$31</c:f>
              <c:numCache>
                <c:formatCode>General</c:formatCode>
                <c:ptCount val="30"/>
                <c:pt idx="0">
                  <c:v>9.24</c:v>
                </c:pt>
                <c:pt idx="1">
                  <c:v>11.52</c:v>
                </c:pt>
                <c:pt idx="2">
                  <c:v>13.8</c:v>
                </c:pt>
                <c:pt idx="3">
                  <c:v>15.6</c:v>
                </c:pt>
                <c:pt idx="4">
                  <c:v>16.920000000000002</c:v>
                </c:pt>
                <c:pt idx="5">
                  <c:v>17.79</c:v>
                </c:pt>
                <c:pt idx="6">
                  <c:v>18.41</c:v>
                </c:pt>
                <c:pt idx="7">
                  <c:v>18.86</c:v>
                </c:pt>
                <c:pt idx="8">
                  <c:v>19.2</c:v>
                </c:pt>
                <c:pt idx="9">
                  <c:v>19.48</c:v>
                </c:pt>
                <c:pt idx="10">
                  <c:v>19.72</c:v>
                </c:pt>
                <c:pt idx="11">
                  <c:v>20.09</c:v>
                </c:pt>
                <c:pt idx="12">
                  <c:v>20.239999999999998</c:v>
                </c:pt>
                <c:pt idx="13">
                  <c:v>20.39</c:v>
                </c:pt>
                <c:pt idx="14">
                  <c:v>20.51</c:v>
                </c:pt>
                <c:pt idx="15">
                  <c:v>20.62</c:v>
                </c:pt>
                <c:pt idx="16">
                  <c:v>20.8</c:v>
                </c:pt>
                <c:pt idx="17">
                  <c:v>20.95</c:v>
                </c:pt>
                <c:pt idx="18">
                  <c:v>21.07</c:v>
                </c:pt>
                <c:pt idx="19">
                  <c:v>21.57</c:v>
                </c:pt>
                <c:pt idx="20">
                  <c:v>21.87</c:v>
                </c:pt>
                <c:pt idx="21">
                  <c:v>22.01</c:v>
                </c:pt>
                <c:pt idx="22">
                  <c:v>22.1</c:v>
                </c:pt>
                <c:pt idx="23">
                  <c:v>22.17</c:v>
                </c:pt>
                <c:pt idx="24">
                  <c:v>22.2</c:v>
                </c:pt>
                <c:pt idx="25">
                  <c:v>22.28</c:v>
                </c:pt>
                <c:pt idx="26">
                  <c:v>22.38</c:v>
                </c:pt>
                <c:pt idx="27">
                  <c:v>22.39</c:v>
                </c:pt>
                <c:pt idx="28">
                  <c:v>22.4</c:v>
                </c:pt>
                <c:pt idx="29">
                  <c:v>22.45</c:v>
                </c:pt>
              </c:numCache>
            </c:numRef>
          </c:xVal>
          <c:yVal>
            <c:numRef>
              <c:f>'baseline 12h00'!$C$2:$C$31</c:f>
              <c:numCache>
                <c:formatCode>General</c:formatCode>
                <c:ptCount val="30"/>
                <c:pt idx="0">
                  <c:v>4.59</c:v>
                </c:pt>
                <c:pt idx="1">
                  <c:v>4.58</c:v>
                </c:pt>
                <c:pt idx="2">
                  <c:v>4.58</c:v>
                </c:pt>
                <c:pt idx="3">
                  <c:v>4.45</c:v>
                </c:pt>
                <c:pt idx="4">
                  <c:v>4.22</c:v>
                </c:pt>
                <c:pt idx="5">
                  <c:v>3.95</c:v>
                </c:pt>
                <c:pt idx="6">
                  <c:v>3.68</c:v>
                </c:pt>
                <c:pt idx="7">
                  <c:v>3.43</c:v>
                </c:pt>
                <c:pt idx="8">
                  <c:v>3.2</c:v>
                </c:pt>
                <c:pt idx="9">
                  <c:v>3</c:v>
                </c:pt>
                <c:pt idx="10">
                  <c:v>2.82</c:v>
                </c:pt>
                <c:pt idx="11">
                  <c:v>2.5099999999999998</c:v>
                </c:pt>
                <c:pt idx="12">
                  <c:v>2.38</c:v>
                </c:pt>
                <c:pt idx="13">
                  <c:v>2.27</c:v>
                </c:pt>
                <c:pt idx="14">
                  <c:v>2.16</c:v>
                </c:pt>
                <c:pt idx="15">
                  <c:v>2.06</c:v>
                </c:pt>
                <c:pt idx="16">
                  <c:v>1.89</c:v>
                </c:pt>
                <c:pt idx="17">
                  <c:v>1.75</c:v>
                </c:pt>
                <c:pt idx="18">
                  <c:v>1.62</c:v>
                </c:pt>
                <c:pt idx="19">
                  <c:v>1.08</c:v>
                </c:pt>
                <c:pt idx="20">
                  <c:v>0.78</c:v>
                </c:pt>
                <c:pt idx="21">
                  <c:v>0.55000000000000004</c:v>
                </c:pt>
                <c:pt idx="22">
                  <c:v>0.44</c:v>
                </c:pt>
                <c:pt idx="23">
                  <c:v>0.37</c:v>
                </c:pt>
                <c:pt idx="24">
                  <c:v>0.32</c:v>
                </c:pt>
                <c:pt idx="25">
                  <c:v>0.22</c:v>
                </c:pt>
                <c:pt idx="26">
                  <c:v>0.11</c:v>
                </c:pt>
                <c:pt idx="27">
                  <c:v>7.0000000000000007E-2</c:v>
                </c:pt>
                <c:pt idx="28">
                  <c:v>0.06</c:v>
                </c:pt>
                <c:pt idx="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A2-7A46-B2B4-BFB2AFE43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750575"/>
        <c:axId val="486075328"/>
      </c:scatterChart>
      <c:valAx>
        <c:axId val="198375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075328"/>
        <c:crosses val="autoZero"/>
        <c:crossBetween val="midCat"/>
      </c:valAx>
      <c:valAx>
        <c:axId val="48607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750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622300</xdr:colOff>
      <xdr:row>10</xdr:row>
      <xdr:rowOff>171450</xdr:rowOff>
    </xdr:from>
    <xdr:to>
      <xdr:col>14</xdr:col>
      <xdr:colOff>241300</xdr:colOff>
      <xdr:row>24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D840ED-5342-5945-A658-B85209F3E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PV_outside_PS_7Oct.xlsx" TargetMode="External"/><Relationship Id="rId2" Type="http://schemas.openxmlformats.org/officeDocument/2006/relationships/externalLinkPath" Target="/Users/pearlmothiba/Downloads/PV_outside_PS_7Oct.xlsx" TargetMode="External"/><Relationship Id="rId1" Type="http://schemas.openxmlformats.org/officeDocument/2006/relationships/externalLinkPath" Target="/Users/pearlmothiba/Downloads/PV_outside_PS_7O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line 11h30"/>
      <sheetName val="baseline 12h00"/>
      <sheetName val="shading col1row1 with cardboard"/>
      <sheetName val="shading col1row1 with paper"/>
      <sheetName val="shading col2row1 with paper "/>
      <sheetName val="shading col3row1 with paper "/>
      <sheetName val="baseline 12h50"/>
      <sheetName val="Sheet8"/>
      <sheetName val="shading 50% col1row1 with paper"/>
      <sheetName val="baseline 16h00"/>
    </sheetNames>
    <sheetDataSet>
      <sheetData sheetId="0"/>
      <sheetData sheetId="1">
        <row r="1">
          <cell r="C1" t="str">
            <v>Current </v>
          </cell>
        </row>
        <row r="2">
          <cell r="B2">
            <v>9.24</v>
          </cell>
          <cell r="C2">
            <v>4.59</v>
          </cell>
        </row>
        <row r="3">
          <cell r="B3">
            <v>11.52</v>
          </cell>
          <cell r="C3">
            <v>4.58</v>
          </cell>
        </row>
        <row r="4">
          <cell r="B4">
            <v>13.8</v>
          </cell>
          <cell r="C4">
            <v>4.58</v>
          </cell>
        </row>
        <row r="5">
          <cell r="B5">
            <v>15.6</v>
          </cell>
          <cell r="C5">
            <v>4.45</v>
          </cell>
        </row>
        <row r="6">
          <cell r="B6">
            <v>16.920000000000002</v>
          </cell>
          <cell r="C6">
            <v>4.22</v>
          </cell>
        </row>
        <row r="7">
          <cell r="B7">
            <v>17.79</v>
          </cell>
          <cell r="C7">
            <v>3.95</v>
          </cell>
        </row>
        <row r="8">
          <cell r="B8">
            <v>18.41</v>
          </cell>
          <cell r="C8">
            <v>3.68</v>
          </cell>
        </row>
        <row r="9">
          <cell r="B9">
            <v>18.86</v>
          </cell>
          <cell r="C9">
            <v>3.43</v>
          </cell>
        </row>
        <row r="10">
          <cell r="B10">
            <v>19.2</v>
          </cell>
          <cell r="C10">
            <v>3.2</v>
          </cell>
        </row>
        <row r="11">
          <cell r="B11">
            <v>19.48</v>
          </cell>
          <cell r="C11">
            <v>3</v>
          </cell>
        </row>
        <row r="12">
          <cell r="B12">
            <v>19.72</v>
          </cell>
          <cell r="C12">
            <v>2.82</v>
          </cell>
        </row>
        <row r="13">
          <cell r="B13">
            <v>20.09</v>
          </cell>
          <cell r="C13">
            <v>2.5099999999999998</v>
          </cell>
        </row>
        <row r="14">
          <cell r="B14">
            <v>20.239999999999998</v>
          </cell>
          <cell r="C14">
            <v>2.38</v>
          </cell>
        </row>
        <row r="15">
          <cell r="B15">
            <v>20.39</v>
          </cell>
          <cell r="C15">
            <v>2.27</v>
          </cell>
        </row>
        <row r="16">
          <cell r="B16">
            <v>20.51</v>
          </cell>
          <cell r="C16">
            <v>2.16</v>
          </cell>
        </row>
        <row r="17">
          <cell r="B17">
            <v>20.62</v>
          </cell>
          <cell r="C17">
            <v>2.06</v>
          </cell>
        </row>
        <row r="18">
          <cell r="B18">
            <v>20.8</v>
          </cell>
          <cell r="C18">
            <v>1.89</v>
          </cell>
        </row>
        <row r="19">
          <cell r="B19">
            <v>20.95</v>
          </cell>
          <cell r="C19">
            <v>1.75</v>
          </cell>
        </row>
        <row r="20">
          <cell r="B20">
            <v>21.07</v>
          </cell>
          <cell r="C20">
            <v>1.62</v>
          </cell>
        </row>
        <row r="21">
          <cell r="B21">
            <v>21.57</v>
          </cell>
          <cell r="C21">
            <v>1.08</v>
          </cell>
        </row>
        <row r="22">
          <cell r="B22">
            <v>21.87</v>
          </cell>
          <cell r="C22">
            <v>0.78</v>
          </cell>
        </row>
        <row r="23">
          <cell r="B23">
            <v>22.01</v>
          </cell>
          <cell r="C23">
            <v>0.55000000000000004</v>
          </cell>
        </row>
        <row r="24">
          <cell r="B24">
            <v>22.1</v>
          </cell>
          <cell r="C24">
            <v>0.44</v>
          </cell>
        </row>
        <row r="25">
          <cell r="B25">
            <v>22.17</v>
          </cell>
          <cell r="C25">
            <v>0.37</v>
          </cell>
        </row>
        <row r="26">
          <cell r="B26">
            <v>22.2</v>
          </cell>
          <cell r="C26">
            <v>0.32</v>
          </cell>
        </row>
        <row r="27">
          <cell r="B27">
            <v>22.28</v>
          </cell>
          <cell r="C27">
            <v>0.22</v>
          </cell>
        </row>
        <row r="28">
          <cell r="B28">
            <v>22.38</v>
          </cell>
          <cell r="C28">
            <v>0.11</v>
          </cell>
        </row>
        <row r="29">
          <cell r="B29">
            <v>22.39</v>
          </cell>
          <cell r="C29">
            <v>7.0000000000000007E-2</v>
          </cell>
        </row>
        <row r="30">
          <cell r="B30">
            <v>22.4</v>
          </cell>
          <cell r="C30">
            <v>0.06</v>
          </cell>
        </row>
        <row r="31">
          <cell r="B31">
            <v>22.45</v>
          </cell>
          <cell r="C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B89F-0668-5C4B-8B72-6B58C479FB91}">
  <dimension ref="A1:V48"/>
  <sheetViews>
    <sheetView tabSelected="1" workbookViewId="0">
      <selection activeCell="E14" sqref="E14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</v>
      </c>
      <c r="B2" s="1">
        <v>9.24</v>
      </c>
      <c r="C2" s="1">
        <v>4.59</v>
      </c>
    </row>
    <row r="3" spans="1:3" x14ac:dyDescent="0.2">
      <c r="A3" s="1">
        <v>2.5</v>
      </c>
      <c r="B3" s="1">
        <v>11.52</v>
      </c>
      <c r="C3" s="1">
        <v>4.58</v>
      </c>
    </row>
    <row r="4" spans="1:3" x14ac:dyDescent="0.2">
      <c r="A4" s="1">
        <v>3</v>
      </c>
      <c r="B4" s="1">
        <v>13.8</v>
      </c>
      <c r="C4" s="1">
        <v>4.58</v>
      </c>
    </row>
    <row r="5" spans="1:3" x14ac:dyDescent="0.2">
      <c r="A5" s="1">
        <v>3.5</v>
      </c>
      <c r="B5" s="1">
        <v>15.6</v>
      </c>
      <c r="C5" s="1">
        <v>4.45</v>
      </c>
    </row>
    <row r="6" spans="1:3" x14ac:dyDescent="0.2">
      <c r="A6" s="1">
        <v>4</v>
      </c>
      <c r="B6" s="1">
        <v>16.920000000000002</v>
      </c>
      <c r="C6" s="1">
        <v>4.22</v>
      </c>
    </row>
    <row r="7" spans="1:3" x14ac:dyDescent="0.2">
      <c r="A7" s="1">
        <v>4.5</v>
      </c>
      <c r="B7" s="1">
        <v>17.79</v>
      </c>
      <c r="C7" s="1">
        <v>3.95</v>
      </c>
    </row>
    <row r="8" spans="1:3" x14ac:dyDescent="0.2">
      <c r="A8" s="1">
        <v>5</v>
      </c>
      <c r="B8" s="1">
        <v>18.41</v>
      </c>
      <c r="C8" s="1">
        <v>3.68</v>
      </c>
    </row>
    <row r="9" spans="1:3" x14ac:dyDescent="0.2">
      <c r="A9" s="1">
        <v>5.5</v>
      </c>
      <c r="B9" s="1">
        <v>18.86</v>
      </c>
      <c r="C9" s="1">
        <v>3.43</v>
      </c>
    </row>
    <row r="10" spans="1:3" x14ac:dyDescent="0.2">
      <c r="A10" s="1">
        <v>6</v>
      </c>
      <c r="B10" s="1">
        <v>19.2</v>
      </c>
      <c r="C10" s="1">
        <v>3.2</v>
      </c>
    </row>
    <row r="11" spans="1:3" x14ac:dyDescent="0.2">
      <c r="A11" s="1">
        <v>6.5</v>
      </c>
      <c r="B11" s="1">
        <v>19.48</v>
      </c>
      <c r="C11" s="1">
        <v>3</v>
      </c>
    </row>
    <row r="12" spans="1:3" x14ac:dyDescent="0.2">
      <c r="A12" s="1">
        <v>7</v>
      </c>
      <c r="B12" s="1">
        <v>19.72</v>
      </c>
      <c r="C12" s="1">
        <v>2.82</v>
      </c>
    </row>
    <row r="13" spans="1:3" x14ac:dyDescent="0.2">
      <c r="A13" s="1">
        <v>7.5</v>
      </c>
      <c r="B13" s="1">
        <v>20.09</v>
      </c>
      <c r="C13" s="1">
        <v>2.5099999999999998</v>
      </c>
    </row>
    <row r="14" spans="1:3" x14ac:dyDescent="0.2">
      <c r="A14" s="1">
        <v>8.5</v>
      </c>
      <c r="B14" s="1">
        <v>20.239999999999998</v>
      </c>
      <c r="C14" s="1">
        <v>2.38</v>
      </c>
    </row>
    <row r="15" spans="1:3" x14ac:dyDescent="0.2">
      <c r="A15" s="1">
        <v>9</v>
      </c>
      <c r="B15" s="1">
        <v>20.39</v>
      </c>
      <c r="C15" s="1">
        <v>2.27</v>
      </c>
    </row>
    <row r="16" spans="1:3" x14ac:dyDescent="0.2">
      <c r="A16" s="1">
        <v>9.5</v>
      </c>
      <c r="B16" s="1">
        <v>20.51</v>
      </c>
      <c r="C16" s="1">
        <v>2.16</v>
      </c>
    </row>
    <row r="17" spans="1:3" x14ac:dyDescent="0.2">
      <c r="A17" s="1">
        <v>10</v>
      </c>
      <c r="B17" s="1">
        <v>20.62</v>
      </c>
      <c r="C17" s="1">
        <v>2.06</v>
      </c>
    </row>
    <row r="18" spans="1:3" x14ac:dyDescent="0.2">
      <c r="A18" s="1">
        <v>11</v>
      </c>
      <c r="B18" s="1">
        <v>20.8</v>
      </c>
      <c r="C18" s="1">
        <v>1.89</v>
      </c>
    </row>
    <row r="19" spans="1:3" x14ac:dyDescent="0.2">
      <c r="A19" s="1">
        <v>12</v>
      </c>
      <c r="B19" s="1">
        <v>20.95</v>
      </c>
      <c r="C19" s="1">
        <v>1.75</v>
      </c>
    </row>
    <row r="20" spans="1:3" x14ac:dyDescent="0.2">
      <c r="A20" s="1">
        <v>13</v>
      </c>
      <c r="B20" s="1">
        <v>21.07</v>
      </c>
      <c r="C20" s="1">
        <v>1.62</v>
      </c>
    </row>
    <row r="21" spans="1:3" x14ac:dyDescent="0.2">
      <c r="A21" s="1">
        <v>20</v>
      </c>
      <c r="B21" s="1">
        <v>21.57</v>
      </c>
      <c r="C21" s="1">
        <v>1.08</v>
      </c>
    </row>
    <row r="22" spans="1:3" x14ac:dyDescent="0.2">
      <c r="A22" s="1">
        <v>30</v>
      </c>
      <c r="B22" s="1">
        <v>21.87</v>
      </c>
      <c r="C22" s="1">
        <v>0.78</v>
      </c>
    </row>
    <row r="23" spans="1:3" x14ac:dyDescent="0.2">
      <c r="A23" s="1">
        <v>40</v>
      </c>
      <c r="B23" s="1">
        <v>22.01</v>
      </c>
      <c r="C23" s="1">
        <v>0.55000000000000004</v>
      </c>
    </row>
    <row r="24" spans="1:3" x14ac:dyDescent="0.2">
      <c r="A24" s="1">
        <v>50</v>
      </c>
      <c r="B24" s="1">
        <v>22.1</v>
      </c>
      <c r="C24" s="1">
        <v>0.44</v>
      </c>
    </row>
    <row r="25" spans="1:3" x14ac:dyDescent="0.2">
      <c r="A25" s="1">
        <v>60</v>
      </c>
      <c r="B25" s="1">
        <v>22.17</v>
      </c>
      <c r="C25" s="1">
        <v>0.37</v>
      </c>
    </row>
    <row r="26" spans="1:3" x14ac:dyDescent="0.2">
      <c r="A26" s="1">
        <v>70</v>
      </c>
      <c r="B26" s="1">
        <v>22.2</v>
      </c>
      <c r="C26" s="1">
        <v>0.32</v>
      </c>
    </row>
    <row r="27" spans="1:3" x14ac:dyDescent="0.2">
      <c r="A27" s="1">
        <v>100</v>
      </c>
      <c r="B27" s="1">
        <v>22.28</v>
      </c>
      <c r="C27" s="1">
        <v>0.22</v>
      </c>
    </row>
    <row r="28" spans="1:3" x14ac:dyDescent="0.2">
      <c r="A28" s="1">
        <v>200</v>
      </c>
      <c r="B28" s="1">
        <v>22.38</v>
      </c>
      <c r="C28" s="1">
        <v>0.11</v>
      </c>
    </row>
    <row r="29" spans="1:3" x14ac:dyDescent="0.2">
      <c r="A29" s="1">
        <v>300</v>
      </c>
      <c r="B29" s="1">
        <v>22.39</v>
      </c>
      <c r="C29" s="1">
        <v>7.0000000000000007E-2</v>
      </c>
    </row>
    <row r="30" spans="1:3" x14ac:dyDescent="0.2">
      <c r="A30" s="1">
        <v>400</v>
      </c>
      <c r="B30" s="1">
        <v>22.4</v>
      </c>
      <c r="C30" s="1">
        <v>0.06</v>
      </c>
    </row>
    <row r="31" spans="1:3" x14ac:dyDescent="0.2">
      <c r="A31" t="s">
        <v>3</v>
      </c>
      <c r="B31" s="1">
        <v>22.45</v>
      </c>
      <c r="C31" s="1">
        <v>0</v>
      </c>
    </row>
    <row r="38" spans="8:22" x14ac:dyDescent="0.2">
      <c r="H38" s="2" t="s">
        <v>4</v>
      </c>
      <c r="I38" s="3"/>
      <c r="J38" s="3"/>
      <c r="K38" s="3"/>
      <c r="P38" s="2" t="s">
        <v>5</v>
      </c>
      <c r="Q38" s="3"/>
      <c r="R38" s="3"/>
      <c r="S38" s="3"/>
    </row>
    <row r="39" spans="8:22" x14ac:dyDescent="0.2">
      <c r="H39" s="4" t="s">
        <v>6</v>
      </c>
      <c r="I39" s="4" t="s">
        <v>7</v>
      </c>
      <c r="J39" s="4" t="s">
        <v>8</v>
      </c>
      <c r="K39" s="4" t="s">
        <v>9</v>
      </c>
      <c r="M39" s="5" t="s">
        <v>10</v>
      </c>
      <c r="N39" s="3"/>
      <c r="P39" s="4" t="s">
        <v>6</v>
      </c>
      <c r="Q39" s="4" t="s">
        <v>7</v>
      </c>
      <c r="R39" s="4" t="s">
        <v>8</v>
      </c>
      <c r="S39" s="4" t="s">
        <v>9</v>
      </c>
      <c r="U39" s="5" t="s">
        <v>10</v>
      </c>
      <c r="V39" s="3"/>
    </row>
    <row r="40" spans="8:22" x14ac:dyDescent="0.2">
      <c r="H40" s="6" t="s">
        <v>11</v>
      </c>
      <c r="I40" s="7">
        <v>47.6</v>
      </c>
      <c r="J40" s="7">
        <v>49</v>
      </c>
      <c r="K40" s="7">
        <v>46.1</v>
      </c>
      <c r="M40" s="6" t="s">
        <v>12</v>
      </c>
      <c r="N40" s="8">
        <f>AVERAGE(I40:K42)</f>
        <v>47.111111111111114</v>
      </c>
      <c r="P40" s="6" t="s">
        <v>11</v>
      </c>
      <c r="Q40" s="7">
        <v>854.8</v>
      </c>
      <c r="R40" s="7">
        <v>862.7</v>
      </c>
      <c r="S40" s="7">
        <v>807.2</v>
      </c>
      <c r="U40" s="6" t="s">
        <v>12</v>
      </c>
      <c r="V40" s="8">
        <f>AVERAGE(Q40:S42)</f>
        <v>848.37777777777774</v>
      </c>
    </row>
    <row r="41" spans="8:22" x14ac:dyDescent="0.2">
      <c r="H41" s="6" t="s">
        <v>13</v>
      </c>
      <c r="I41" s="7">
        <v>48.2</v>
      </c>
      <c r="J41" s="7">
        <v>49.5</v>
      </c>
      <c r="K41" s="7">
        <v>47</v>
      </c>
      <c r="M41" s="6" t="s">
        <v>14</v>
      </c>
      <c r="N41" s="8">
        <f>MIN(I40:K42)</f>
        <v>45</v>
      </c>
      <c r="P41" s="6" t="s">
        <v>13</v>
      </c>
      <c r="Q41" s="7">
        <v>868.7</v>
      </c>
      <c r="R41" s="7">
        <v>853</v>
      </c>
      <c r="S41" s="7">
        <v>814.7</v>
      </c>
      <c r="U41" s="6" t="s">
        <v>14</v>
      </c>
      <c r="V41" s="8">
        <f>MIN(Q40:S42)</f>
        <v>807.2</v>
      </c>
    </row>
    <row r="42" spans="8:22" x14ac:dyDescent="0.2">
      <c r="H42" s="6" t="s">
        <v>15</v>
      </c>
      <c r="I42" s="7">
        <v>45.6</v>
      </c>
      <c r="J42" s="7">
        <v>45</v>
      </c>
      <c r="K42" s="7">
        <v>46</v>
      </c>
      <c r="M42" s="6" t="s">
        <v>16</v>
      </c>
      <c r="N42" s="8">
        <f>MAX(I40:K42)</f>
        <v>49.5</v>
      </c>
      <c r="P42" s="6" t="s">
        <v>15</v>
      </c>
      <c r="Q42" s="7">
        <v>872.6</v>
      </c>
      <c r="R42" s="7">
        <v>838.3</v>
      </c>
      <c r="S42" s="7">
        <v>863.4</v>
      </c>
      <c r="U42" s="6" t="s">
        <v>16</v>
      </c>
      <c r="V42" s="8">
        <f>MAX(Q40:S42)</f>
        <v>872.6</v>
      </c>
    </row>
    <row r="43" spans="8:22" x14ac:dyDescent="0.2">
      <c r="M43" s="6" t="s">
        <v>17</v>
      </c>
      <c r="N43" s="8">
        <f>N42-N41</f>
        <v>4.5</v>
      </c>
      <c r="U43" s="6" t="s">
        <v>17</v>
      </c>
      <c r="V43" s="8">
        <f>V42-V41</f>
        <v>65.399999999999977</v>
      </c>
    </row>
    <row r="44" spans="8:22" x14ac:dyDescent="0.2">
      <c r="H44" s="9" t="s">
        <v>18</v>
      </c>
      <c r="M44" s="10" t="s">
        <v>19</v>
      </c>
      <c r="N44" s="11">
        <f>_xlfn.STDEV.S(I40:K42)</f>
        <v>1.5695894721585997</v>
      </c>
      <c r="U44" s="10" t="s">
        <v>20</v>
      </c>
      <c r="V44" s="11">
        <f>((MAX(Q40:S42)-MIN(Q40:S42))/(MAX(Q40:S42)+MIN(Q40:S42)))*100</f>
        <v>3.8933206334087376</v>
      </c>
    </row>
    <row r="45" spans="8:22" x14ac:dyDescent="0.2">
      <c r="H45" s="12" t="s">
        <v>21</v>
      </c>
      <c r="J45" s="13" t="s">
        <v>22</v>
      </c>
      <c r="K45" s="14"/>
      <c r="L45" s="14"/>
      <c r="M45" s="14"/>
      <c r="N45" s="14"/>
    </row>
    <row r="46" spans="8:22" x14ac:dyDescent="0.2">
      <c r="H46" s="12" t="s">
        <v>23</v>
      </c>
      <c r="J46" s="13"/>
      <c r="K46" s="14"/>
      <c r="L46" s="14"/>
      <c r="M46" s="14"/>
      <c r="N46" s="14"/>
    </row>
    <row r="47" spans="8:22" x14ac:dyDescent="0.2">
      <c r="H47" s="12" t="s">
        <v>24</v>
      </c>
      <c r="J47" s="13"/>
      <c r="K47" s="14"/>
      <c r="L47" s="14"/>
      <c r="M47" s="14"/>
      <c r="N47" s="14"/>
    </row>
    <row r="48" spans="8:22" x14ac:dyDescent="0.2">
      <c r="H48" s="12" t="s">
        <v>25</v>
      </c>
      <c r="J48" s="13" t="s">
        <v>26</v>
      </c>
      <c r="K48" s="14"/>
      <c r="L48" s="14"/>
      <c r="M48" s="14"/>
      <c r="N48" s="14"/>
    </row>
  </sheetData>
  <mergeCells count="8">
    <mergeCell ref="J47:N47"/>
    <mergeCell ref="J48:N48"/>
    <mergeCell ref="H38:K38"/>
    <mergeCell ref="P38:S38"/>
    <mergeCell ref="M39:N39"/>
    <mergeCell ref="U39:V39"/>
    <mergeCell ref="J45:N45"/>
    <mergeCell ref="J46:N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 12h00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2026-10-07T14:31:45Z</dcterms:created>
  <dcterms:modified xsi:type="dcterms:W3CDTF">2026-10-07T14:32:35Z</dcterms:modified>
</cp:coreProperties>
</file>